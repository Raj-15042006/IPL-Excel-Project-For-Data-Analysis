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ja\Downloads\"/>
    </mc:Choice>
  </mc:AlternateContent>
  <xr:revisionPtr revIDLastSave="0" documentId="8_{8C0E02FA-E609-449C-95B8-3CB17E49E366}" xr6:coauthVersionLast="47" xr6:coauthVersionMax="47" xr10:uidLastSave="{00000000-0000-0000-0000-000000000000}"/>
  <bookViews>
    <workbookView xWindow="-108" yWindow="-108" windowWidth="23256" windowHeight="12456" xr2:uid="{418B1774-525F-40B8-A18E-3C2F67B79ADF}"/>
  </bookViews>
  <sheets>
    <sheet name="IPL" sheetId="1" r:id="rId1"/>
    <sheet name="Matches Won" sheetId="3" r:id="rId2"/>
    <sheet name="Toss Decision" sheetId="4" r:id="rId3"/>
    <sheet name="How Teams Won" sheetId="5" r:id="rId4"/>
    <sheet name="POTM Won" sheetId="7" r:id="rId5"/>
    <sheet name="Most Runs" sheetId="9" r:id="rId6"/>
    <sheet name="Most Wickets" sheetId="11" r:id="rId7"/>
  </sheets>
  <calcPr calcId="0"/>
  <pivotCaches>
    <pivotCache cacheId="15" r:id="rId8"/>
    <pivotCache cacheId="19" r:id="rId9"/>
    <pivotCache cacheId="23" r:id="rId10"/>
  </pivotCaches>
</workbook>
</file>

<file path=xl/calcChain.xml><?xml version="1.0" encoding="utf-8"?>
<calcChain xmlns="http://schemas.openxmlformats.org/spreadsheetml/2006/main">
  <c r="B3" i="5" l="1" a="1"/>
  <c r="B3" i="5" s="1"/>
  <c r="B2" i="5" a="1"/>
  <c r="B2" i="5" s="1"/>
  <c r="A2" i="5" a="1"/>
  <c r="A2" i="5" s="1"/>
  <c r="B3" i="4" a="1"/>
  <c r="B3" i="4" s="1"/>
  <c r="B2" i="4" a="1"/>
  <c r="B2" i="4" s="1"/>
  <c r="A2" i="4" a="1"/>
  <c r="A2" i="4" s="1"/>
  <c r="B3" i="3" a="1"/>
  <c r="B3" i="3" s="1"/>
  <c r="B4" i="3" a="1"/>
  <c r="B4" i="3" s="1"/>
  <c r="B5" i="3" a="1"/>
  <c r="B5" i="3" s="1"/>
  <c r="B6" i="3" a="1"/>
  <c r="B6" i="3" s="1"/>
  <c r="B7" i="3" a="1"/>
  <c r="B7" i="3" s="1"/>
  <c r="B8" i="3" a="1"/>
  <c r="B8" i="3" s="1"/>
  <c r="B9" i="3" a="1"/>
  <c r="B9" i="3" s="1"/>
  <c r="B10" i="3" a="1"/>
  <c r="B10" i="3" s="1"/>
  <c r="B11" i="3" a="1"/>
  <c r="B11" i="3" s="1"/>
  <c r="B2" i="3" a="1"/>
  <c r="B2" i="3" s="1"/>
  <c r="A2" i="3" a="1"/>
  <c r="A2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<sst xmlns="http://schemas.openxmlformats.org/spreadsheetml/2006/main" count="1032" uniqueCount="254">
  <si>
    <t>match_id</t>
  </si>
  <si>
    <t>date</t>
  </si>
  <si>
    <t>venue</t>
  </si>
  <si>
    <t>team1</t>
  </si>
  <si>
    <t>team2</t>
  </si>
  <si>
    <t>stage</t>
  </si>
  <si>
    <t>toss_winner</t>
  </si>
  <si>
    <t>toss_decision</t>
  </si>
  <si>
    <t>first_ings_score</t>
  </si>
  <si>
    <t>first_ings_wkts</t>
  </si>
  <si>
    <t>second_ings_score</t>
  </si>
  <si>
    <t>second_ings_wkts</t>
  </si>
  <si>
    <t>match_winner</t>
  </si>
  <si>
    <t>won_by</t>
  </si>
  <si>
    <t>margin</t>
  </si>
  <si>
    <t>player_of_the_match</t>
  </si>
  <si>
    <t>top_scorer</t>
  </si>
  <si>
    <t>highscore</t>
  </si>
  <si>
    <t>best_bowling</t>
  </si>
  <si>
    <t>best_bowling_figure</t>
  </si>
  <si>
    <t>March 26,2022</t>
  </si>
  <si>
    <t>Wankhede Stadium, Mumbai</t>
  </si>
  <si>
    <t>Chennai</t>
  </si>
  <si>
    <t>Kolkata</t>
  </si>
  <si>
    <t>Group</t>
  </si>
  <si>
    <t>Field</t>
  </si>
  <si>
    <t>Wickets</t>
  </si>
  <si>
    <t>Umesh Yadav</t>
  </si>
  <si>
    <t>MS Dhoni</t>
  </si>
  <si>
    <t>Dwayne Bravo</t>
  </si>
  <si>
    <t>3--20</t>
  </si>
  <si>
    <t>March 27,2022</t>
  </si>
  <si>
    <t>Brabourne Stadium, Mumbai</t>
  </si>
  <si>
    <t>Delhi</t>
  </si>
  <si>
    <t>Mumbai</t>
  </si>
  <si>
    <t>Kuldeep Yadav</t>
  </si>
  <si>
    <t>Ishan Kishan</t>
  </si>
  <si>
    <t>3--18</t>
  </si>
  <si>
    <t>Dr DY Patil Sports Academy, Mumbai</t>
  </si>
  <si>
    <t>Banglore</t>
  </si>
  <si>
    <t>Punjab</t>
  </si>
  <si>
    <t>Odean Smith</t>
  </si>
  <si>
    <t>Faf du Plessis</t>
  </si>
  <si>
    <t>Mohammed Siraj</t>
  </si>
  <si>
    <t>2--59</t>
  </si>
  <si>
    <t>March 28,2022</t>
  </si>
  <si>
    <t>Gujarat</t>
  </si>
  <si>
    <t>Lucknow</t>
  </si>
  <si>
    <t>Mohammed Shami</t>
  </si>
  <si>
    <t>Deepak Hooda</t>
  </si>
  <si>
    <t>3--25</t>
  </si>
  <si>
    <t>March 29,2022</t>
  </si>
  <si>
    <t>Maharashtra Cricket Association Stadium,Pune</t>
  </si>
  <si>
    <t>Hyderabad</t>
  </si>
  <si>
    <t>Rajasthan</t>
  </si>
  <si>
    <t>Runs</t>
  </si>
  <si>
    <t>Sanju Samson</t>
  </si>
  <si>
    <t>Aiden Markram</t>
  </si>
  <si>
    <t>Yuzvendra Chahal</t>
  </si>
  <si>
    <t>3--22</t>
  </si>
  <si>
    <t>March 30,2022</t>
  </si>
  <si>
    <t>Wanindu Hasaranga</t>
  </si>
  <si>
    <t>Sherfane Rutherford</t>
  </si>
  <si>
    <t>4--20</t>
  </si>
  <si>
    <t>March 31,2022</t>
  </si>
  <si>
    <t>Evin Lewis</t>
  </si>
  <si>
    <t>Quinton de Kock</t>
  </si>
  <si>
    <t>Ravi Bishnoi</t>
  </si>
  <si>
    <t>2--24</t>
  </si>
  <si>
    <t>April 1,2022</t>
  </si>
  <si>
    <t>Andre Russell</t>
  </si>
  <si>
    <t>4--23</t>
  </si>
  <si>
    <t>April 2,2022</t>
  </si>
  <si>
    <t>Jos Buttler</t>
  </si>
  <si>
    <t>Jasprit Bumrah</t>
  </si>
  <si>
    <t>3--17</t>
  </si>
  <si>
    <t>Lockie Ferguson</t>
  </si>
  <si>
    <t>Shubman Gill</t>
  </si>
  <si>
    <t>4--28</t>
  </si>
  <si>
    <t>April 3,2022</t>
  </si>
  <si>
    <t>Liam Livingstone</t>
  </si>
  <si>
    <t>Rahul Chahar</t>
  </si>
  <si>
    <t>April 4,2022</t>
  </si>
  <si>
    <t>Avesh Khan</t>
  </si>
  <si>
    <t>KL Rahul</t>
  </si>
  <si>
    <t>4--24</t>
  </si>
  <si>
    <t>April 5,2022</t>
  </si>
  <si>
    <t>Dinesh Karthik</t>
  </si>
  <si>
    <t>2--15</t>
  </si>
  <si>
    <t>April 6,2022</t>
  </si>
  <si>
    <t>Pat Cummins</t>
  </si>
  <si>
    <t>Murugan Ashwin</t>
  </si>
  <si>
    <t>2--25</t>
  </si>
  <si>
    <t>April 7,2022</t>
  </si>
  <si>
    <t>2--22</t>
  </si>
  <si>
    <t>April 8,2022</t>
  </si>
  <si>
    <t>Rashid Khan</t>
  </si>
  <si>
    <t>April 9,2022</t>
  </si>
  <si>
    <t>Abhishek Sharma</t>
  </si>
  <si>
    <t>Washington Sundar</t>
  </si>
  <si>
    <t>2--21</t>
  </si>
  <si>
    <t>Anuj Rawat</t>
  </si>
  <si>
    <t>Suryakumar Yadav</t>
  </si>
  <si>
    <t>Harshal Patel</t>
  </si>
  <si>
    <t>2--23</t>
  </si>
  <si>
    <t>April 10,2022</t>
  </si>
  <si>
    <t>David Warner</t>
  </si>
  <si>
    <t>4--35</t>
  </si>
  <si>
    <t>Shimron Hetmyer</t>
  </si>
  <si>
    <t>4--41</t>
  </si>
  <si>
    <t>April11,2022</t>
  </si>
  <si>
    <t>Kane Williamson</t>
  </si>
  <si>
    <t>T Natarajan</t>
  </si>
  <si>
    <t>2--34</t>
  </si>
  <si>
    <t>April 12,2022</t>
  </si>
  <si>
    <t>Shivam Dube</t>
  </si>
  <si>
    <t>Maheesh Theekshana</t>
  </si>
  <si>
    <t>4--33</t>
  </si>
  <si>
    <t>April 13,2022</t>
  </si>
  <si>
    <t>Mayank Agarwal</t>
  </si>
  <si>
    <t>Shikhar Dhawan</t>
  </si>
  <si>
    <t>4--30</t>
  </si>
  <si>
    <t>April 14,2022</t>
  </si>
  <si>
    <t>Hardik Pandya</t>
  </si>
  <si>
    <t>3--23</t>
  </si>
  <si>
    <t>April 15,2022</t>
  </si>
  <si>
    <t>Rahul Tripathi</t>
  </si>
  <si>
    <t>3--37</t>
  </si>
  <si>
    <t>April 16,2022</t>
  </si>
  <si>
    <t>K L Rahul</t>
  </si>
  <si>
    <t>3--30</t>
  </si>
  <si>
    <t>Josh Hazlewood</t>
  </si>
  <si>
    <t>3--28</t>
  </si>
  <si>
    <t>April 17,2022</t>
  </si>
  <si>
    <t>Umran Malik</t>
  </si>
  <si>
    <t>David Miller</t>
  </si>
  <si>
    <t>April 18,2022</t>
  </si>
  <si>
    <t>5--40</t>
  </si>
  <si>
    <t>April 19,2022</t>
  </si>
  <si>
    <t>4--25</t>
  </si>
  <si>
    <t>April 20,2022</t>
  </si>
  <si>
    <t>Axar Patel</t>
  </si>
  <si>
    <t>2--10</t>
  </si>
  <si>
    <t>April 21,2022</t>
  </si>
  <si>
    <t>Mukesh Choudhary</t>
  </si>
  <si>
    <t>Tilak Varma</t>
  </si>
  <si>
    <t>Daniel Sams</t>
  </si>
  <si>
    <t>April 22,2022</t>
  </si>
  <si>
    <t>Prasidh Krishna</t>
  </si>
  <si>
    <t>April 23,2022</t>
  </si>
  <si>
    <t>Bat</t>
  </si>
  <si>
    <t>4--5</t>
  </si>
  <si>
    <t>Marco Jansen</t>
  </si>
  <si>
    <t>3--10</t>
  </si>
  <si>
    <t>April 24,2022</t>
  </si>
  <si>
    <t>Krunal Pandya</t>
  </si>
  <si>
    <t>3--19</t>
  </si>
  <si>
    <t>April 25,2022</t>
  </si>
  <si>
    <t>Kagiso Rabada</t>
  </si>
  <si>
    <t>April 26,2022</t>
  </si>
  <si>
    <t>Riyan Parag</t>
  </si>
  <si>
    <t>Kuldeep Sen</t>
  </si>
  <si>
    <t>April 27,2022</t>
  </si>
  <si>
    <t>W. Saha</t>
  </si>
  <si>
    <t>5--25</t>
  </si>
  <si>
    <t>April 28,2022</t>
  </si>
  <si>
    <t>Nitish Rana</t>
  </si>
  <si>
    <t>4--14</t>
  </si>
  <si>
    <t>April 29,2022</t>
  </si>
  <si>
    <t>4--38</t>
  </si>
  <si>
    <t>April 30,2022</t>
  </si>
  <si>
    <t>Rahul Tewatia</t>
  </si>
  <si>
    <t>Virat Kohli</t>
  </si>
  <si>
    <t>Pradeep Sangwan</t>
  </si>
  <si>
    <t>2--19</t>
  </si>
  <si>
    <t>Suruakumar Yadav</t>
  </si>
  <si>
    <t>Rilley Meredith</t>
  </si>
  <si>
    <t>May 1,2022</t>
  </si>
  <si>
    <t>Mohsin Khan</t>
  </si>
  <si>
    <t>4--16</t>
  </si>
  <si>
    <t>Ruturaj Gaikwad</t>
  </si>
  <si>
    <t>4--46</t>
  </si>
  <si>
    <t>May 2,2022</t>
  </si>
  <si>
    <t>Rinku Singh</t>
  </si>
  <si>
    <t>Tim Southee</t>
  </si>
  <si>
    <t>2--46</t>
  </si>
  <si>
    <t>May 3,2022</t>
  </si>
  <si>
    <t>Sai Sudharsan</t>
  </si>
  <si>
    <t>May 4,2022</t>
  </si>
  <si>
    <t>Devon Conway</t>
  </si>
  <si>
    <t>3--27</t>
  </si>
  <si>
    <t>May 5,2022</t>
  </si>
  <si>
    <t>Khaleel Ahmed</t>
  </si>
  <si>
    <t>May 6,2022</t>
  </si>
  <si>
    <t>Tim David</t>
  </si>
  <si>
    <t>May 7,2022</t>
  </si>
  <si>
    <t>Yashasvi Jaiswal</t>
  </si>
  <si>
    <t>May 8,2022</t>
  </si>
  <si>
    <t>5--18</t>
  </si>
  <si>
    <t>Moeen Ali</t>
  </si>
  <si>
    <t>3--13</t>
  </si>
  <si>
    <t>May 9,2022</t>
  </si>
  <si>
    <t>5--10</t>
  </si>
  <si>
    <t>May 10,2022</t>
  </si>
  <si>
    <t>May 11,2022</t>
  </si>
  <si>
    <t>Mitchell Marsh</t>
  </si>
  <si>
    <t>Chetan Sakariya</t>
  </si>
  <si>
    <t>May 12,2022</t>
  </si>
  <si>
    <t>3--16</t>
  </si>
  <si>
    <t>May 13,2022</t>
  </si>
  <si>
    <t>Jonny Bairstow</t>
  </si>
  <si>
    <t>4--34</t>
  </si>
  <si>
    <t>May 14,2022</t>
  </si>
  <si>
    <t>May 15,2022</t>
  </si>
  <si>
    <t>Trent Boult</t>
  </si>
  <si>
    <t>2--18</t>
  </si>
  <si>
    <t>May 16,2022</t>
  </si>
  <si>
    <t>Shardul Thakur</t>
  </si>
  <si>
    <t>Shardul Takur</t>
  </si>
  <si>
    <t>4--36</t>
  </si>
  <si>
    <t>May 17,2022</t>
  </si>
  <si>
    <t>Ramandeep Singh</t>
  </si>
  <si>
    <t>May 18,2022</t>
  </si>
  <si>
    <t>May 19,2022</t>
  </si>
  <si>
    <t>2--32</t>
  </si>
  <si>
    <t>May 20,2022</t>
  </si>
  <si>
    <t>R Aswin</t>
  </si>
  <si>
    <t>Prashant Solanki</t>
  </si>
  <si>
    <t>2--20</t>
  </si>
  <si>
    <t>May 21,2022</t>
  </si>
  <si>
    <t>May 22,2022</t>
  </si>
  <si>
    <t>Harpreet Brar</t>
  </si>
  <si>
    <t>3--26</t>
  </si>
  <si>
    <t>May 24,2022</t>
  </si>
  <si>
    <t>Eden Gardens, Kolkata</t>
  </si>
  <si>
    <t>Playoff</t>
  </si>
  <si>
    <t>1--14</t>
  </si>
  <si>
    <t>May 25,2022</t>
  </si>
  <si>
    <t>Rajat Patidar</t>
  </si>
  <si>
    <t>3--43</t>
  </si>
  <si>
    <t>May 27,2022</t>
  </si>
  <si>
    <t>Narendra Modi Stadium, Ahmedabad</t>
  </si>
  <si>
    <t>May 29,2022</t>
  </si>
  <si>
    <t>Final</t>
  </si>
  <si>
    <t>Teams</t>
  </si>
  <si>
    <t>Matches Won</t>
  </si>
  <si>
    <t>Toss Decision</t>
  </si>
  <si>
    <t>Trend</t>
  </si>
  <si>
    <t>Team Won</t>
  </si>
  <si>
    <t>Row Labels</t>
  </si>
  <si>
    <t>Grand Total</t>
  </si>
  <si>
    <t>Sum of POTM Won</t>
  </si>
  <si>
    <t>Sum of Runs</t>
  </si>
  <si>
    <t>Sum of Most Wickets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</si>
</sst>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'Matches Won'!$B$1</c:f>
              <c:strCache>
                <c:ptCount val="1"/>
                <c:pt idx="0">
                  <c:v>Matches Won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'Matches Won'!$A$2:$A$11</c:f>
              <c:strCache>
                <c:ptCount val="10"/>
                <c:pt idx="0">
                  <c:v>Kolkata</c:v>
                </c:pt>
                <c:pt idx="1">
                  <c:v>Delhi</c:v>
                </c:pt>
                <c:pt idx="2">
                  <c:v>Punjab</c:v>
                </c:pt>
                <c:pt idx="3">
                  <c:v>Gujarat</c:v>
                </c:pt>
                <c:pt idx="4">
                  <c:v>Rajasthan</c:v>
                </c:pt>
                <c:pt idx="5">
                  <c:v>Banglore</c:v>
                </c:pt>
                <c:pt idx="6">
                  <c:v>Lucknow</c:v>
                </c:pt>
                <c:pt idx="7">
                  <c:v>Hyderabad</c:v>
                </c:pt>
                <c:pt idx="8">
                  <c:v>Chennai</c:v>
                </c:pt>
                <c:pt idx="9">
                  <c:v>Mumbai</c:v>
                </c:pt>
              </c:strCache>
            </c:strRef>
          </c:cat>
          <c:val>
            <c:numRef>
              <c:f>'Matches Won'!$B$2:$B$11</c:f>
              <c:numCache>
                <c:formatCode>General</c:formatCode>
                <c:ptCount val="10"/>
                <c:pt idx="0">
                  <c:v>6</c:v>
                </c:pt>
                <c:pt idx="1">
                  <c:v>7</c:v>
                </c:pt>
                <c:pt idx="2">
                  <c:v>7</c:v>
                </c:pt>
                <c:pt idx="3">
                  <c:v>12</c:v>
                </c:pt>
                <c:pt idx="4">
                  <c:v>10</c:v>
                </c:pt>
                <c:pt idx="5">
                  <c:v>9</c:v>
                </c:pt>
                <c:pt idx="6">
                  <c:v>9</c:v>
                </c:pt>
                <c:pt idx="7">
                  <c:v>6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5D-41E5-B67B-686E87110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0286256"/>
        <c:axId val="430283856"/>
      </c:barChart>
      <c:catAx>
        <c:axId val="430286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283856"/>
        <c:crosses val="autoZero"/>
        <c:auto val="1"/>
        <c:lblAlgn val="ctr"/>
        <c:lblOffset val="100"/>
        <c:noMultiLvlLbl val="0"/>
      </c:catAx>
      <c:valAx>
        <c:axId val="430283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28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Toss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'Toss Decision'!$B$1</c:f>
              <c:strCache>
                <c:ptCount val="1"/>
                <c:pt idx="0">
                  <c:v>Trend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'Toss Decision'!$A$2:$A$3</c:f>
              <c:strCache>
                <c:ptCount val="2"/>
                <c:pt idx="0">
                  <c:v>Field</c:v>
                </c:pt>
                <c:pt idx="1">
                  <c:v>Bat</c:v>
                </c:pt>
              </c:strCache>
            </c:strRef>
          </c:cat>
          <c:val>
            <c:numRef>
              <c:f>'Toss Decision'!$B$2:$B$3</c:f>
              <c:numCache>
                <c:formatCode>General</c:formatCode>
                <c:ptCount val="2"/>
                <c:pt idx="0">
                  <c:v>59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1D-44A9-821B-117DA7F86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How</a:t>
            </a:r>
            <a:r>
              <a:rPr lang="en-IN" baseline="0"/>
              <a:t> Teams Win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'How Teams Won'!$B$1</c:f>
              <c:strCache>
                <c:ptCount val="1"/>
                <c:pt idx="0">
                  <c:v>Trend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'How Teams Won'!$A$2:$A$3</c:f>
              <c:strCache>
                <c:ptCount val="2"/>
                <c:pt idx="0">
                  <c:v>Wickets</c:v>
                </c:pt>
                <c:pt idx="1">
                  <c:v>Runs</c:v>
                </c:pt>
              </c:strCache>
            </c:strRef>
          </c:cat>
          <c:val>
            <c:numRef>
              <c:f>'How Teams Won'!$B$2:$B$3</c:f>
              <c:numCache>
                <c:formatCode>General</c:formatCode>
                <c:ptCount val="2"/>
                <c:pt idx="0">
                  <c:v>37</c:v>
                </c:pt>
                <c:pt idx="1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D3-4A24-A565-48E9163CF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2786992"/>
        <c:axId val="502797072"/>
      </c:barChart>
      <c:catAx>
        <c:axId val="50278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797072"/>
        <c:crosses val="autoZero"/>
        <c:auto val="1"/>
        <c:lblAlgn val="ctr"/>
        <c:lblOffset val="100"/>
        <c:noMultiLvlLbl val="0"/>
      </c:catAx>
      <c:valAx>
        <c:axId val="50279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786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[IPL.xlsx]POTM Won!PivotTable7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POTM</a:t>
            </a:r>
            <a:r>
              <a:rPr lang="en-IN" baseline="0"/>
              <a:t> Won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'POTM Won'!$B$3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'POTM Won'!$A$4:$A$19</c:f>
              <c:strCache>
                <c:ptCount val="15"/>
                <c:pt idx="0">
                  <c:v>Kuldeep Yadav</c:v>
                </c:pt>
                <c:pt idx="1">
                  <c:v>Jos Buttler</c:v>
                </c:pt>
                <c:pt idx="2">
                  <c:v>Rahul Tripathi</c:v>
                </c:pt>
                <c:pt idx="3">
                  <c:v>Yuzvendra Chahal</c:v>
                </c:pt>
                <c:pt idx="4">
                  <c:v>Dinesh Karthik</c:v>
                </c:pt>
                <c:pt idx="5">
                  <c:v>Hardik Pandya</c:v>
                </c:pt>
                <c:pt idx="6">
                  <c:v>Quinton de Kock</c:v>
                </c:pt>
                <c:pt idx="7">
                  <c:v>Jasprit Bumrah</c:v>
                </c:pt>
                <c:pt idx="8">
                  <c:v>Shubman Gill</c:v>
                </c:pt>
                <c:pt idx="9">
                  <c:v>Umesh Yadav</c:v>
                </c:pt>
                <c:pt idx="10">
                  <c:v>Umran Malik</c:v>
                </c:pt>
                <c:pt idx="11">
                  <c:v>Wanindu Hasaranga</c:v>
                </c:pt>
                <c:pt idx="12">
                  <c:v>K L Rahul</c:v>
                </c:pt>
                <c:pt idx="13">
                  <c:v>David Miller</c:v>
                </c:pt>
                <c:pt idx="14">
                  <c:v>Avesh Khan</c:v>
                </c:pt>
              </c:strCache>
            </c:strRef>
          </c:cat>
          <c:val>
            <c:numRef>
              <c:f>'POTM Won'!$B$4:$B$19</c:f>
              <c:numCache>
                <c:formatCode>General</c:formatCode>
                <c:ptCount val="15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6F-4363-9E81-048189835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2792272"/>
        <c:axId val="502793712"/>
      </c:barChart>
      <c:catAx>
        <c:axId val="502792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Players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793712"/>
        <c:crosses val="autoZero"/>
        <c:auto val="1"/>
        <c:lblAlgn val="ctr"/>
        <c:lblOffset val="100"/>
        <c:noMultiLvlLbl val="0"/>
      </c:catAx>
      <c:valAx>
        <c:axId val="5027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</a:t>
                </a:r>
                <a:r>
                  <a:rPr lang="en-IN" baseline="0"/>
                  <a:t> Of Awards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79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[IPL.xlsx]Most Runs!PivotTable8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Most</a:t>
            </a:r>
            <a:r>
              <a:rPr lang="en-IN" baseline="0"/>
              <a:t> Runs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'Most Runs'!$B$3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'Most Runs'!$A$4:$A$14</c:f>
              <c:strCache>
                <c:ptCount val="10"/>
                <c:pt idx="0">
                  <c:v>Jos Buttler</c:v>
                </c:pt>
                <c:pt idx="1">
                  <c:v>Quinton de Kock</c:v>
                </c:pt>
                <c:pt idx="2">
                  <c:v>KL Rahul</c:v>
                </c:pt>
                <c:pt idx="3">
                  <c:v>Shubman Gill</c:v>
                </c:pt>
                <c:pt idx="4">
                  <c:v>Faf du Plessis</c:v>
                </c:pt>
                <c:pt idx="5">
                  <c:v>Liam Livingstone</c:v>
                </c:pt>
                <c:pt idx="6">
                  <c:v>David Warner</c:v>
                </c:pt>
                <c:pt idx="7">
                  <c:v>W. Saha</c:v>
                </c:pt>
                <c:pt idx="8">
                  <c:v>Ishan Kishan</c:v>
                </c:pt>
                <c:pt idx="9">
                  <c:v>Shikhar Dhawan</c:v>
                </c:pt>
              </c:strCache>
            </c:strRef>
          </c:cat>
          <c:val>
            <c:numRef>
              <c:f>'Most Runs'!$B$4:$B$14</c:f>
              <c:numCache>
                <c:formatCode>General</c:formatCode>
                <c:ptCount val="10"/>
                <c:pt idx="0">
                  <c:v>651</c:v>
                </c:pt>
                <c:pt idx="1">
                  <c:v>377</c:v>
                </c:pt>
                <c:pt idx="2">
                  <c:v>351</c:v>
                </c:pt>
                <c:pt idx="3">
                  <c:v>288</c:v>
                </c:pt>
                <c:pt idx="4">
                  <c:v>257</c:v>
                </c:pt>
                <c:pt idx="5">
                  <c:v>239</c:v>
                </c:pt>
                <c:pt idx="6">
                  <c:v>213</c:v>
                </c:pt>
                <c:pt idx="7">
                  <c:v>190</c:v>
                </c:pt>
                <c:pt idx="8">
                  <c:v>180</c:v>
                </c:pt>
                <c:pt idx="9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BF-4089-9665-0FC1A9DFB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5080128"/>
        <c:axId val="425080608"/>
      </c:barChart>
      <c:catAx>
        <c:axId val="425080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080608"/>
        <c:crosses val="autoZero"/>
        <c:auto val="1"/>
        <c:lblAlgn val="ctr"/>
        <c:lblOffset val="100"/>
        <c:noMultiLvlLbl val="0"/>
      </c:catAx>
      <c:valAx>
        <c:axId val="425080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08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[IPL.xlsx]Most Wickets!PivotTable9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Most</a:t>
            </a:r>
            <a:r>
              <a:rPr lang="en-IN" baseline="0"/>
              <a:t> Wickets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'Most Wickets'!$B$3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'Most Wickets'!$A$4:$A$14</c:f>
              <c:strCache>
                <c:ptCount val="10"/>
                <c:pt idx="0">
                  <c:v>Yuzvendra Chahal</c:v>
                </c:pt>
                <c:pt idx="1">
                  <c:v>Rashid Khan</c:v>
                </c:pt>
                <c:pt idx="2">
                  <c:v>Jasprit Bumrah</c:v>
                </c:pt>
                <c:pt idx="3">
                  <c:v>Kuldeep Yadav</c:v>
                </c:pt>
                <c:pt idx="4">
                  <c:v>Josh Hazlewood</c:v>
                </c:pt>
                <c:pt idx="5">
                  <c:v>Kagiso Rabada</c:v>
                </c:pt>
                <c:pt idx="6">
                  <c:v>Avesh Khan</c:v>
                </c:pt>
                <c:pt idx="7">
                  <c:v>Wanindu Hasaranga</c:v>
                </c:pt>
                <c:pt idx="8">
                  <c:v>Umran Malik</c:v>
                </c:pt>
                <c:pt idx="9">
                  <c:v>T Natarajan</c:v>
                </c:pt>
              </c:strCache>
            </c:strRef>
          </c:cat>
          <c:val>
            <c:numRef>
              <c:f>'Most Wickets'!$B$4:$B$14</c:f>
              <c:numCache>
                <c:formatCode>General</c:formatCode>
                <c:ptCount val="10"/>
                <c:pt idx="0">
                  <c:v>17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9</c:v>
                </c:pt>
                <c:pt idx="8">
                  <c:v>9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0-4592-B0B2-85E81D68F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2950656"/>
        <c:axId val="492950176"/>
      </c:barChart>
      <c:catAx>
        <c:axId val="492950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950176"/>
        <c:crosses val="autoZero"/>
        <c:auto val="1"/>
        <c:lblAlgn val="ctr"/>
        <c:lblOffset val="100"/>
        <c:noMultiLvlLbl val="0"/>
      </c:catAx>
      <c:valAx>
        <c:axId val="492950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295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133350</xdr:rowOff>
    </xdr:from>
    <xdr:to>
      <xdr:col>15</xdr:col>
      <xdr:colOff>228600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99CC76-A8B0-4DE8-0087-12E830A36A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133350</xdr:rowOff>
    </xdr:from>
    <xdr:to>
      <xdr:col>15</xdr:col>
      <xdr:colOff>228600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C537E5-8D05-520C-6628-397133CB56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5</xdr:row>
      <xdr:rowOff>133350</xdr:rowOff>
    </xdr:from>
    <xdr:to>
      <xdr:col>13</xdr:col>
      <xdr:colOff>91440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5AF819-6157-02ED-5ECE-2BC07D818F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556260</xdr:colOff>
      <xdr:row>5</xdr:row>
      <xdr:rowOff>133350</xdr:rowOff>
    </xdr:from>
    <xdr:to>
      <xdr:col>10</xdr:col>
      <xdr:colOff>251460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3F14B5-0CFB-E70F-7260-2ADC9BE5B4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541020</xdr:colOff>
      <xdr:row>5</xdr:row>
      <xdr:rowOff>133350</xdr:rowOff>
    </xdr:from>
    <xdr:to>
      <xdr:col>11</xdr:col>
      <xdr:colOff>236220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74D5B8-4933-AF5D-B8D6-95CF8CB5E7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441960</xdr:colOff>
      <xdr:row>5</xdr:row>
      <xdr:rowOff>133350</xdr:rowOff>
    </xdr:from>
    <xdr:to>
      <xdr:col>10</xdr:col>
      <xdr:colOff>137160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D87846-366D-021F-C4EA-0D4AD02295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IPL.csv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IPL.csv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IPL.csv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ak Jani" refreshedDate="46138.604725115743" createdVersion="8" refreshedVersion="8" minRefreshableVersion="3" recordCount="56" xr:uid="{B47D29E4-BFFC-4A1B-8FBC-60594B99639F}">
  <cacheSource type="worksheet">
    <worksheetSource ref="A1:B57" sheet="Sheet5" r:id="rId2"/>
  </cacheSource>
  <cacheFields count="2">
    <cacheField name="Player" numFmtId="0">
      <sharedItems count="56">
        <s v="Umesh Yadav"/>
        <s v="Kuldeep Yadav"/>
        <s v="Odean Smith"/>
        <s v="Mohammed Shami"/>
        <s v="Sanju Samson"/>
        <s v="Wanindu Hasaranga"/>
        <s v="Evin Lewis"/>
        <s v="Jos Buttler"/>
        <s v="Lockie Ferguson"/>
        <s v="Liam Livingstone"/>
        <s v="Avesh Khan"/>
        <s v="Dinesh Karthik"/>
        <s v="Pat Cummins"/>
        <s v="Quinton de Kock"/>
        <s v="Shubman Gill"/>
        <s v="Abhishek Sharma"/>
        <s v="Anuj Rawat"/>
        <s v="Yuzvendra Chahal"/>
        <s v="Kane Williamson"/>
        <s v="Shivam Dube"/>
        <s v="Mayank Agarwal"/>
        <s v="Hardik Pandya"/>
        <s v="Rahul Tripathi"/>
        <s v="K L Rahul"/>
        <s v="Umran Malik"/>
        <s v="David Miller"/>
        <s v="Faf du Plessis"/>
        <s v="Mukesh Choudhary"/>
        <s v="Rashid Khan"/>
        <s v="Marco Jansen"/>
        <s v="Shikhar Dhawan"/>
        <s v="Riyan Parag"/>
        <s v="Krunal Pandya"/>
        <s v="Rahul Tewatia"/>
        <s v="Suruakumar Yadav"/>
        <s v="Mohsin Khan"/>
        <s v="Ruturaj Gaikwad"/>
        <s v="Rinku Singh"/>
        <s v="Kagiso Rabada"/>
        <s v="Harshal Patel"/>
        <s v="David Warner"/>
        <s v="Tim David"/>
        <s v="Yashasvi Jaiswal"/>
        <s v="Devon Conway"/>
        <s v="Jasprit Bumrah"/>
        <s v="Mitchell Marsh"/>
        <s v="Daniel Sams"/>
        <s v="Jonny Bairstow"/>
        <s v="Andre Russell"/>
        <s v="W. Saha"/>
        <s v="Trent Boult"/>
        <s v="Shardul Thakur"/>
        <s v="Virat Kohli"/>
        <s v="R Aswin"/>
        <s v="Harpreet Brar"/>
        <s v="Rajat Patidar"/>
      </sharedItems>
    </cacheField>
    <cacheField name="POTM Won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ak Jani" refreshedDate="46138.608575810184" createdVersion="8" refreshedVersion="8" minRefreshableVersion="3" recordCount="37" xr:uid="{9B02CAED-0D1F-4994-A7F7-1C7A66A2EE7E}">
  <cacheSource type="worksheet">
    <worksheetSource ref="A1:B38" sheet="Sheet7" r:id="rId2"/>
  </cacheSource>
  <cacheFields count="2">
    <cacheField name="Player" numFmtId="0">
      <sharedItems count="37">
        <s v="MS Dhoni"/>
        <s v="Ishan Kishan"/>
        <s v="Faf du Plessis"/>
        <s v="Deepak Hooda"/>
        <s v="Aiden Markram"/>
        <s v="Sherfane Rutherford"/>
        <s v="Quinton de Kock"/>
        <s v="Andre Russell"/>
        <s v="Jos Buttler"/>
        <s v="Shubman Gill"/>
        <s v="Liam Livingstone"/>
        <s v="KL Rahul"/>
        <s v="Pat Cummins"/>
        <s v="Abhishek Sharma"/>
        <s v="Suryakumar Yadav"/>
        <s v="David Warner"/>
        <s v="Shimron Hetmyer"/>
        <s v="Kane Williamson"/>
        <s v="Shivam Dube"/>
        <s v="Shikhar Dhawan"/>
        <s v="Hardik Pandya"/>
        <s v="Rahul Tripathi"/>
        <s v="Dinesh Karthik"/>
        <s v="David Miller"/>
        <s v="Tilak Varma"/>
        <s v="Riyan Parag"/>
        <s v="W. Saha"/>
        <s v="Nitish Rana"/>
        <s v="Virat Kohli"/>
        <s v="Ruturaj Gaikwad"/>
        <s v="Sanju Samson"/>
        <s v="Sai Sudharsan"/>
        <s v="Devon Conway"/>
        <s v="Yashasvi Jaiswal"/>
        <s v="Mitchell Marsh"/>
        <s v="Moeen Ali"/>
        <s v="Rajat Patidar"/>
      </sharedItems>
    </cacheField>
    <cacheField name="Runs" numFmtId="0">
      <sharedItems containsSemiMixedTypes="0" containsString="0" containsNumber="1" containsInteger="1" minValue="28" maxValue="6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epak Jani" refreshedDate="46138.6112474537" createdVersion="8" refreshedVersion="8" minRefreshableVersion="3" recordCount="42" xr:uid="{DD3D77B7-FA2A-402B-BB2E-0623E6CB49C9}">
  <cacheSource type="worksheet">
    <worksheetSource ref="A1:B43" sheet="Sheet9" r:id="rId2"/>
  </cacheSource>
  <cacheFields count="2">
    <cacheField name="Players" numFmtId="0">
      <sharedItems count="42">
        <s v="Dwayne Bravo"/>
        <s v="Kuldeep Yadav"/>
        <s v="Mohammed Siraj"/>
        <s v="Mohammed Shami"/>
        <s v="Yuzvendra Chahal"/>
        <s v="Wanindu Hasaranga"/>
        <s v="Ravi Bishnoi"/>
        <s v="Umesh Yadav"/>
        <s v="Jasprit Bumrah"/>
        <s v="Lockie Ferguson"/>
        <s v="Rahul Chahar"/>
        <s v="Avesh Khan"/>
        <s v="Murugan Ashwin"/>
        <s v="Rashid Khan"/>
        <s v="Washington Sundar"/>
        <s v="Harshal Patel"/>
        <s v="T Natarajan"/>
        <s v="Maheesh Theekshana"/>
        <s v="Odean Smith"/>
        <s v="Josh Hazlewood"/>
        <s v="Umran Malik"/>
        <s v="Axar Patel"/>
        <s v="Daniel Sams"/>
        <s v="Prasidh Krishna"/>
        <s v="Andre Russell"/>
        <s v="Krunal Pandya"/>
        <s v="Kagiso Rabada"/>
        <s v="Kuldeep Sen"/>
        <s v="Pradeep Sangwan"/>
        <s v="Rilley Meredith"/>
        <s v="Mohsin Khan"/>
        <s v="Mukesh Choudhary"/>
        <s v="Tim Southee"/>
        <s v="Khaleel Ahmed"/>
        <s v="Moeen Ali"/>
        <s v="Chetan Sakariya"/>
        <s v="Trent Boult"/>
        <s v="Shardul Takur"/>
        <s v="Ramandeep Singh"/>
        <s v="Prashant Solanki"/>
        <s v="Harpreet Brar"/>
        <s v="Hardik Pandya"/>
      </sharedItems>
    </cacheField>
    <cacheField name="Most Wickets" numFmtId="0">
      <sharedItems containsSemiMixedTypes="0" containsString="0" containsNumber="1" containsInteger="1" minValue="2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n v="2"/>
  </r>
  <r>
    <x v="1"/>
    <n v="4"/>
  </r>
  <r>
    <x v="2"/>
    <n v="1"/>
  </r>
  <r>
    <x v="3"/>
    <n v="1"/>
  </r>
  <r>
    <x v="4"/>
    <n v="1"/>
  </r>
  <r>
    <x v="5"/>
    <n v="2"/>
  </r>
  <r>
    <x v="6"/>
    <n v="1"/>
  </r>
  <r>
    <x v="7"/>
    <n v="3"/>
  </r>
  <r>
    <x v="8"/>
    <n v="1"/>
  </r>
  <r>
    <x v="9"/>
    <n v="1"/>
  </r>
  <r>
    <x v="10"/>
    <n v="2"/>
  </r>
  <r>
    <x v="11"/>
    <n v="2"/>
  </r>
  <r>
    <x v="12"/>
    <n v="1"/>
  </r>
  <r>
    <x v="13"/>
    <n v="2"/>
  </r>
  <r>
    <x v="14"/>
    <n v="2"/>
  </r>
  <r>
    <x v="15"/>
    <n v="1"/>
  </r>
  <r>
    <x v="16"/>
    <n v="1"/>
  </r>
  <r>
    <x v="17"/>
    <n v="2"/>
  </r>
  <r>
    <x v="18"/>
    <n v="1"/>
  </r>
  <r>
    <x v="19"/>
    <n v="1"/>
  </r>
  <r>
    <x v="20"/>
    <n v="1"/>
  </r>
  <r>
    <x v="21"/>
    <n v="2"/>
  </r>
  <r>
    <x v="22"/>
    <n v="2"/>
  </r>
  <r>
    <x v="23"/>
    <n v="2"/>
  </r>
  <r>
    <x v="24"/>
    <n v="2"/>
  </r>
  <r>
    <x v="25"/>
    <n v="2"/>
  </r>
  <r>
    <x v="26"/>
    <n v="1"/>
  </r>
  <r>
    <x v="27"/>
    <n v="1"/>
  </r>
  <r>
    <x v="28"/>
    <n v="1"/>
  </r>
  <r>
    <x v="29"/>
    <n v="1"/>
  </r>
  <r>
    <x v="30"/>
    <n v="1"/>
  </r>
  <r>
    <x v="31"/>
    <n v="1"/>
  </r>
  <r>
    <x v="32"/>
    <n v="1"/>
  </r>
  <r>
    <x v="33"/>
    <n v="1"/>
  </r>
  <r>
    <x v="34"/>
    <n v="1"/>
  </r>
  <r>
    <x v="35"/>
    <n v="1"/>
  </r>
  <r>
    <x v="36"/>
    <n v="1"/>
  </r>
  <r>
    <x v="37"/>
    <n v="1"/>
  </r>
  <r>
    <x v="38"/>
    <n v="1"/>
  </r>
  <r>
    <x v="39"/>
    <n v="1"/>
  </r>
  <r>
    <x v="40"/>
    <n v="1"/>
  </r>
  <r>
    <x v="41"/>
    <n v="1"/>
  </r>
  <r>
    <x v="42"/>
    <n v="1"/>
  </r>
  <r>
    <x v="43"/>
    <n v="1"/>
  </r>
  <r>
    <x v="44"/>
    <n v="2"/>
  </r>
  <r>
    <x v="45"/>
    <n v="1"/>
  </r>
  <r>
    <x v="46"/>
    <n v="1"/>
  </r>
  <r>
    <x v="47"/>
    <n v="1"/>
  </r>
  <r>
    <x v="48"/>
    <n v="1"/>
  </r>
  <r>
    <x v="49"/>
    <n v="1"/>
  </r>
  <r>
    <x v="50"/>
    <n v="1"/>
  </r>
  <r>
    <x v="51"/>
    <n v="1"/>
  </r>
  <r>
    <x v="52"/>
    <n v="1"/>
  </r>
  <r>
    <x v="53"/>
    <n v="1"/>
  </r>
  <r>
    <x v="54"/>
    <n v="1"/>
  </r>
  <r>
    <x v="55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n v="86"/>
  </r>
  <r>
    <x v="1"/>
    <n v="180"/>
  </r>
  <r>
    <x v="2"/>
    <n v="257"/>
  </r>
  <r>
    <x v="3"/>
    <n v="114"/>
  </r>
  <r>
    <x v="4"/>
    <n v="57"/>
  </r>
  <r>
    <x v="5"/>
    <n v="28"/>
  </r>
  <r>
    <x v="6"/>
    <n v="377"/>
  </r>
  <r>
    <x v="7"/>
    <n v="119"/>
  </r>
  <r>
    <x v="8"/>
    <n v="651"/>
  </r>
  <r>
    <x v="9"/>
    <n v="288"/>
  </r>
  <r>
    <x v="10"/>
    <n v="239"/>
  </r>
  <r>
    <x v="11"/>
    <n v="351"/>
  </r>
  <r>
    <x v="12"/>
    <n v="56"/>
  </r>
  <r>
    <x v="13"/>
    <n v="122"/>
  </r>
  <r>
    <x v="14"/>
    <n v="68"/>
  </r>
  <r>
    <x v="15"/>
    <n v="213"/>
  </r>
  <r>
    <x v="16"/>
    <n v="59"/>
  </r>
  <r>
    <x v="17"/>
    <n v="57"/>
  </r>
  <r>
    <x v="18"/>
    <n v="95"/>
  </r>
  <r>
    <x v="19"/>
    <n v="158"/>
  </r>
  <r>
    <x v="20"/>
    <n v="154"/>
  </r>
  <r>
    <x v="21"/>
    <n v="147"/>
  </r>
  <r>
    <x v="22"/>
    <n v="66"/>
  </r>
  <r>
    <x v="23"/>
    <n v="94"/>
  </r>
  <r>
    <x v="24"/>
    <n v="51"/>
  </r>
  <r>
    <x v="25"/>
    <n v="56"/>
  </r>
  <r>
    <x v="26"/>
    <n v="190"/>
  </r>
  <r>
    <x v="27"/>
    <n v="57"/>
  </r>
  <r>
    <x v="28"/>
    <n v="131"/>
  </r>
  <r>
    <x v="29"/>
    <n v="99"/>
  </r>
  <r>
    <x v="30"/>
    <n v="54"/>
  </r>
  <r>
    <x v="31"/>
    <n v="65"/>
  </r>
  <r>
    <x v="32"/>
    <n v="143"/>
  </r>
  <r>
    <x v="33"/>
    <n v="68"/>
  </r>
  <r>
    <x v="34"/>
    <n v="152"/>
  </r>
  <r>
    <x v="35"/>
    <n v="93"/>
  </r>
  <r>
    <x v="36"/>
    <n v="11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n v="6"/>
  </r>
  <r>
    <x v="1"/>
    <n v="11"/>
  </r>
  <r>
    <x v="2"/>
    <n v="2"/>
  </r>
  <r>
    <x v="3"/>
    <n v="5"/>
  </r>
  <r>
    <x v="4"/>
    <n v="17"/>
  </r>
  <r>
    <x v="5"/>
    <n v="9"/>
  </r>
  <r>
    <x v="6"/>
    <n v="4"/>
  </r>
  <r>
    <x v="7"/>
    <n v="4"/>
  </r>
  <r>
    <x v="8"/>
    <n v="11"/>
  </r>
  <r>
    <x v="9"/>
    <n v="7"/>
  </r>
  <r>
    <x v="10"/>
    <n v="3"/>
  </r>
  <r>
    <x v="11"/>
    <n v="10"/>
  </r>
  <r>
    <x v="12"/>
    <n v="2"/>
  </r>
  <r>
    <x v="13"/>
    <n v="11"/>
  </r>
  <r>
    <x v="14"/>
    <n v="2"/>
  </r>
  <r>
    <x v="15"/>
    <n v="6"/>
  </r>
  <r>
    <x v="16"/>
    <n v="8"/>
  </r>
  <r>
    <x v="17"/>
    <n v="7"/>
  </r>
  <r>
    <x v="18"/>
    <n v="4"/>
  </r>
  <r>
    <x v="19"/>
    <n v="10"/>
  </r>
  <r>
    <x v="20"/>
    <n v="9"/>
  </r>
  <r>
    <x v="21"/>
    <n v="2"/>
  </r>
  <r>
    <x v="22"/>
    <n v="7"/>
  </r>
  <r>
    <x v="23"/>
    <n v="6"/>
  </r>
  <r>
    <x v="24"/>
    <n v="7"/>
  </r>
  <r>
    <x v="25"/>
    <n v="3"/>
  </r>
  <r>
    <x v="26"/>
    <n v="10"/>
  </r>
  <r>
    <x v="27"/>
    <n v="4"/>
  </r>
  <r>
    <x v="28"/>
    <n v="2"/>
  </r>
  <r>
    <x v="29"/>
    <n v="2"/>
  </r>
  <r>
    <x v="30"/>
    <n v="7"/>
  </r>
  <r>
    <x v="31"/>
    <n v="4"/>
  </r>
  <r>
    <x v="32"/>
    <n v="2"/>
  </r>
  <r>
    <x v="33"/>
    <n v="3"/>
  </r>
  <r>
    <x v="34"/>
    <n v="3"/>
  </r>
  <r>
    <x v="35"/>
    <n v="2"/>
  </r>
  <r>
    <x v="36"/>
    <n v="2"/>
  </r>
  <r>
    <x v="37"/>
    <n v="4"/>
  </r>
  <r>
    <x v="38"/>
    <n v="3"/>
  </r>
  <r>
    <x v="39"/>
    <n v="2"/>
  </r>
  <r>
    <x v="40"/>
    <n v="3"/>
  </r>
  <r>
    <x v="4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519093-E90C-41D1-AF91-26E150F9B77E}" name="PivotTable7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9" firstHeaderRow="1" firstDataRow="1" firstDataCol="1"/>
  <pivotFields count="2">
    <pivotField axis="axisRow" showAll="0" measureFilter="1" sortType="descending">
      <items count="57">
        <item x="15"/>
        <item x="48"/>
        <item x="16"/>
        <item x="10"/>
        <item x="46"/>
        <item x="25"/>
        <item x="40"/>
        <item x="43"/>
        <item x="11"/>
        <item x="6"/>
        <item x="26"/>
        <item x="21"/>
        <item x="54"/>
        <item x="39"/>
        <item x="44"/>
        <item x="47"/>
        <item x="7"/>
        <item x="23"/>
        <item x="38"/>
        <item x="18"/>
        <item x="32"/>
        <item x="1"/>
        <item x="9"/>
        <item x="8"/>
        <item x="29"/>
        <item x="20"/>
        <item x="45"/>
        <item x="3"/>
        <item x="35"/>
        <item x="27"/>
        <item x="2"/>
        <item x="12"/>
        <item x="13"/>
        <item x="53"/>
        <item x="33"/>
        <item x="22"/>
        <item x="55"/>
        <item x="28"/>
        <item x="37"/>
        <item x="31"/>
        <item x="36"/>
        <item x="4"/>
        <item x="51"/>
        <item x="30"/>
        <item x="19"/>
        <item x="14"/>
        <item x="34"/>
        <item x="41"/>
        <item x="50"/>
        <item x="0"/>
        <item x="24"/>
        <item x="52"/>
        <item x="49"/>
        <item x="5"/>
        <item x="42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6">
    <i>
      <x v="21"/>
    </i>
    <i>
      <x v="16"/>
    </i>
    <i>
      <x v="35"/>
    </i>
    <i>
      <x v="55"/>
    </i>
    <i>
      <x v="8"/>
    </i>
    <i>
      <x v="11"/>
    </i>
    <i>
      <x v="32"/>
    </i>
    <i>
      <x v="14"/>
    </i>
    <i>
      <x v="45"/>
    </i>
    <i>
      <x v="49"/>
    </i>
    <i>
      <x v="50"/>
    </i>
    <i>
      <x v="53"/>
    </i>
    <i>
      <x v="17"/>
    </i>
    <i>
      <x v="5"/>
    </i>
    <i>
      <x v="3"/>
    </i>
    <i t="grand">
      <x/>
    </i>
  </rowItems>
  <colItems count="1">
    <i/>
  </colItems>
  <dataFields count="1">
    <dataField name="Sum of POTM Won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7AC251-A74B-456B-9617-E9966E124347}" name="PivotTable8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4" firstHeaderRow="1" firstDataRow="1" firstDataCol="1"/>
  <pivotFields count="2">
    <pivotField axis="axisRow" showAll="0" measureFilter="1" sortType="descending">
      <items count="38">
        <item x="13"/>
        <item x="4"/>
        <item x="7"/>
        <item x="23"/>
        <item x="15"/>
        <item x="3"/>
        <item x="32"/>
        <item x="22"/>
        <item x="2"/>
        <item x="20"/>
        <item x="1"/>
        <item x="8"/>
        <item x="17"/>
        <item x="11"/>
        <item x="10"/>
        <item x="34"/>
        <item x="35"/>
        <item x="0"/>
        <item x="27"/>
        <item x="12"/>
        <item x="6"/>
        <item x="21"/>
        <item x="36"/>
        <item x="25"/>
        <item x="29"/>
        <item x="31"/>
        <item x="30"/>
        <item x="5"/>
        <item x="19"/>
        <item x="16"/>
        <item x="18"/>
        <item x="9"/>
        <item x="14"/>
        <item x="24"/>
        <item x="28"/>
        <item x="26"/>
        <item x="3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1">
    <i>
      <x v="11"/>
    </i>
    <i>
      <x v="20"/>
    </i>
    <i>
      <x v="13"/>
    </i>
    <i>
      <x v="31"/>
    </i>
    <i>
      <x v="8"/>
    </i>
    <i>
      <x v="14"/>
    </i>
    <i>
      <x v="4"/>
    </i>
    <i>
      <x v="35"/>
    </i>
    <i>
      <x v="10"/>
    </i>
    <i>
      <x v="28"/>
    </i>
    <i t="grand">
      <x/>
    </i>
  </rowItems>
  <colItems count="1">
    <i/>
  </colItems>
  <dataFields count="1">
    <dataField name="Sum of Run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141EAB-B5FE-4F91-B0D6-021A053E9D28}" name="PivotTable9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4" firstHeaderRow="1" firstDataRow="1" firstDataCol="1"/>
  <pivotFields count="2">
    <pivotField axis="axisRow" showAll="0" measureFilter="1" sortType="descending">
      <items count="43">
        <item x="24"/>
        <item x="11"/>
        <item x="21"/>
        <item x="35"/>
        <item x="22"/>
        <item x="0"/>
        <item x="41"/>
        <item x="40"/>
        <item x="15"/>
        <item x="8"/>
        <item x="19"/>
        <item x="26"/>
        <item x="33"/>
        <item x="25"/>
        <item x="27"/>
        <item x="1"/>
        <item x="9"/>
        <item x="17"/>
        <item x="34"/>
        <item x="3"/>
        <item x="2"/>
        <item x="30"/>
        <item x="31"/>
        <item x="12"/>
        <item x="18"/>
        <item x="28"/>
        <item x="39"/>
        <item x="23"/>
        <item x="10"/>
        <item x="38"/>
        <item x="13"/>
        <item x="6"/>
        <item x="29"/>
        <item x="37"/>
        <item x="16"/>
        <item x="32"/>
        <item x="36"/>
        <item x="7"/>
        <item x="20"/>
        <item x="5"/>
        <item x="14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11">
    <i>
      <x v="41"/>
    </i>
    <i>
      <x v="30"/>
    </i>
    <i>
      <x v="9"/>
    </i>
    <i>
      <x v="15"/>
    </i>
    <i>
      <x v="10"/>
    </i>
    <i>
      <x v="11"/>
    </i>
    <i>
      <x v="1"/>
    </i>
    <i>
      <x v="39"/>
    </i>
    <i>
      <x v="38"/>
    </i>
    <i>
      <x v="34"/>
    </i>
    <i t="grand">
      <x/>
    </i>
  </rowItems>
  <colItems count="1">
    <i/>
  </colItems>
  <dataFields count="1">
    <dataField name="Sum of Most Wicket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040DC-89D9-48BA-AD67-93AC058351DA}">
  <dimension ref="A1:T75"/>
  <sheetViews>
    <sheetView tabSelected="1" topLeftCell="B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23</v>
      </c>
      <c r="H2" t="s">
        <v>25</v>
      </c>
      <c r="I2">
        <v>131</v>
      </c>
      <c r="J2">
        <v>5</v>
      </c>
      <c r="K2">
        <v>133</v>
      </c>
      <c r="L2">
        <v>4</v>
      </c>
      <c r="M2" t="s">
        <v>23</v>
      </c>
      <c r="N2" t="s">
        <v>26</v>
      </c>
      <c r="O2">
        <v>6</v>
      </c>
      <c r="P2" t="s">
        <v>27</v>
      </c>
      <c r="Q2" t="s">
        <v>28</v>
      </c>
      <c r="R2">
        <v>50</v>
      </c>
      <c r="S2" t="s">
        <v>29</v>
      </c>
      <c r="T2" t="s">
        <v>30</v>
      </c>
    </row>
    <row r="3" spans="1:20" x14ac:dyDescent="0.3">
      <c r="A3">
        <v>2</v>
      </c>
      <c r="B3" t="s">
        <v>31</v>
      </c>
      <c r="C3" t="s">
        <v>32</v>
      </c>
      <c r="D3" t="s">
        <v>33</v>
      </c>
      <c r="E3" t="s">
        <v>34</v>
      </c>
      <c r="F3" t="s">
        <v>24</v>
      </c>
      <c r="G3" t="s">
        <v>33</v>
      </c>
      <c r="H3" t="s">
        <v>25</v>
      </c>
      <c r="I3">
        <v>177</v>
      </c>
      <c r="J3">
        <v>5</v>
      </c>
      <c r="K3">
        <v>179</v>
      </c>
      <c r="L3">
        <v>6</v>
      </c>
      <c r="M3" t="s">
        <v>33</v>
      </c>
      <c r="N3" t="s">
        <v>26</v>
      </c>
      <c r="O3">
        <v>4</v>
      </c>
      <c r="P3" t="s">
        <v>35</v>
      </c>
      <c r="Q3" t="s">
        <v>36</v>
      </c>
      <c r="R3">
        <v>81</v>
      </c>
      <c r="S3" t="s">
        <v>35</v>
      </c>
      <c r="T3" t="s">
        <v>37</v>
      </c>
    </row>
    <row r="4" spans="1:20" x14ac:dyDescent="0.3">
      <c r="A4">
        <v>3</v>
      </c>
      <c r="B4" t="s">
        <v>31</v>
      </c>
      <c r="C4" t="s">
        <v>38</v>
      </c>
      <c r="D4" t="s">
        <v>39</v>
      </c>
      <c r="E4" t="s">
        <v>40</v>
      </c>
      <c r="F4" t="s">
        <v>24</v>
      </c>
      <c r="G4" t="s">
        <v>40</v>
      </c>
      <c r="H4" t="s">
        <v>25</v>
      </c>
      <c r="I4">
        <v>205</v>
      </c>
      <c r="J4">
        <v>2</v>
      </c>
      <c r="K4">
        <v>208</v>
      </c>
      <c r="L4">
        <v>5</v>
      </c>
      <c r="M4" t="s">
        <v>40</v>
      </c>
      <c r="N4" t="s">
        <v>26</v>
      </c>
      <c r="O4">
        <v>5</v>
      </c>
      <c r="P4" t="s">
        <v>41</v>
      </c>
      <c r="Q4" t="s">
        <v>42</v>
      </c>
      <c r="R4">
        <v>88</v>
      </c>
      <c r="S4" t="s">
        <v>43</v>
      </c>
      <c r="T4" t="s">
        <v>44</v>
      </c>
    </row>
    <row r="5" spans="1:20" x14ac:dyDescent="0.3">
      <c r="A5">
        <v>4</v>
      </c>
      <c r="B5" t="s">
        <v>45</v>
      </c>
      <c r="C5" t="s">
        <v>21</v>
      </c>
      <c r="D5" t="s">
        <v>46</v>
      </c>
      <c r="E5" t="s">
        <v>47</v>
      </c>
      <c r="F5" t="s">
        <v>24</v>
      </c>
      <c r="G5" t="s">
        <v>46</v>
      </c>
      <c r="H5" t="s">
        <v>25</v>
      </c>
      <c r="I5">
        <v>158</v>
      </c>
      <c r="J5">
        <v>6</v>
      </c>
      <c r="K5">
        <v>161</v>
      </c>
      <c r="L5">
        <v>5</v>
      </c>
      <c r="M5" t="s">
        <v>46</v>
      </c>
      <c r="N5" t="s">
        <v>26</v>
      </c>
      <c r="O5">
        <v>5</v>
      </c>
      <c r="P5" t="s">
        <v>48</v>
      </c>
      <c r="Q5" t="s">
        <v>49</v>
      </c>
      <c r="R5">
        <v>55</v>
      </c>
      <c r="S5" t="s">
        <v>48</v>
      </c>
      <c r="T5" t="s">
        <v>50</v>
      </c>
    </row>
    <row r="6" spans="1:20" x14ac:dyDescent="0.3">
      <c r="A6">
        <v>5</v>
      </c>
      <c r="B6" t="s">
        <v>51</v>
      </c>
      <c r="C6" t="s">
        <v>52</v>
      </c>
      <c r="D6" t="s">
        <v>53</v>
      </c>
      <c r="E6" t="s">
        <v>54</v>
      </c>
      <c r="F6" t="s">
        <v>24</v>
      </c>
      <c r="G6" t="s">
        <v>53</v>
      </c>
      <c r="H6" t="s">
        <v>25</v>
      </c>
      <c r="I6">
        <v>210</v>
      </c>
      <c r="J6">
        <v>6</v>
      </c>
      <c r="K6">
        <v>149</v>
      </c>
      <c r="L6">
        <v>7</v>
      </c>
      <c r="M6" t="s">
        <v>54</v>
      </c>
      <c r="N6" t="s">
        <v>55</v>
      </c>
      <c r="O6">
        <v>61</v>
      </c>
      <c r="P6" t="s">
        <v>56</v>
      </c>
      <c r="Q6" t="s">
        <v>57</v>
      </c>
      <c r="R6">
        <v>57</v>
      </c>
      <c r="S6" t="s">
        <v>58</v>
      </c>
      <c r="T6" t="s">
        <v>59</v>
      </c>
    </row>
    <row r="7" spans="1:20" x14ac:dyDescent="0.3">
      <c r="A7">
        <v>6</v>
      </c>
      <c r="B7" t="s">
        <v>60</v>
      </c>
      <c r="C7" t="s">
        <v>38</v>
      </c>
      <c r="D7" t="s">
        <v>39</v>
      </c>
      <c r="E7" t="s">
        <v>23</v>
      </c>
      <c r="F7" t="s">
        <v>24</v>
      </c>
      <c r="G7" t="s">
        <v>39</v>
      </c>
      <c r="H7" t="s">
        <v>25</v>
      </c>
      <c r="I7">
        <v>128</v>
      </c>
      <c r="J7">
        <v>10</v>
      </c>
      <c r="K7">
        <v>132</v>
      </c>
      <c r="L7">
        <v>7</v>
      </c>
      <c r="M7" t="s">
        <v>39</v>
      </c>
      <c r="N7" t="s">
        <v>26</v>
      </c>
      <c r="O7">
        <v>3</v>
      </c>
      <c r="P7" t="s">
        <v>61</v>
      </c>
      <c r="Q7" t="s">
        <v>62</v>
      </c>
      <c r="R7">
        <v>28</v>
      </c>
      <c r="S7" t="s">
        <v>61</v>
      </c>
      <c r="T7" t="s">
        <v>63</v>
      </c>
    </row>
    <row r="8" spans="1:20" x14ac:dyDescent="0.3">
      <c r="A8">
        <v>7</v>
      </c>
      <c r="B8" t="s">
        <v>64</v>
      </c>
      <c r="C8" t="s">
        <v>32</v>
      </c>
      <c r="D8" t="s">
        <v>22</v>
      </c>
      <c r="E8" t="s">
        <v>47</v>
      </c>
      <c r="F8" t="s">
        <v>24</v>
      </c>
      <c r="G8" t="s">
        <v>47</v>
      </c>
      <c r="H8" t="s">
        <v>25</v>
      </c>
      <c r="I8">
        <v>210</v>
      </c>
      <c r="J8">
        <v>7</v>
      </c>
      <c r="K8">
        <v>211</v>
      </c>
      <c r="L8">
        <v>4</v>
      </c>
      <c r="M8" t="s">
        <v>47</v>
      </c>
      <c r="N8" t="s">
        <v>26</v>
      </c>
      <c r="O8">
        <v>6</v>
      </c>
      <c r="P8" t="s">
        <v>65</v>
      </c>
      <c r="Q8" t="s">
        <v>66</v>
      </c>
      <c r="R8">
        <v>61</v>
      </c>
      <c r="S8" t="s">
        <v>67</v>
      </c>
      <c r="T8" t="s">
        <v>68</v>
      </c>
    </row>
    <row r="9" spans="1:20" x14ac:dyDescent="0.3">
      <c r="A9">
        <v>8</v>
      </c>
      <c r="B9" t="s">
        <v>69</v>
      </c>
      <c r="C9" t="s">
        <v>21</v>
      </c>
      <c r="D9" t="s">
        <v>23</v>
      </c>
      <c r="E9" t="s">
        <v>40</v>
      </c>
      <c r="F9" t="s">
        <v>24</v>
      </c>
      <c r="G9" t="s">
        <v>23</v>
      </c>
      <c r="H9" t="s">
        <v>25</v>
      </c>
      <c r="I9">
        <v>137</v>
      </c>
      <c r="J9">
        <v>10</v>
      </c>
      <c r="K9">
        <v>141</v>
      </c>
      <c r="L9">
        <v>4</v>
      </c>
      <c r="M9" t="s">
        <v>23</v>
      </c>
      <c r="N9" t="s">
        <v>26</v>
      </c>
      <c r="O9">
        <v>6</v>
      </c>
      <c r="P9" t="s">
        <v>27</v>
      </c>
      <c r="Q9" t="s">
        <v>70</v>
      </c>
      <c r="R9">
        <v>70</v>
      </c>
      <c r="S9" t="s">
        <v>27</v>
      </c>
      <c r="T9" t="s">
        <v>71</v>
      </c>
    </row>
    <row r="10" spans="1:20" x14ac:dyDescent="0.3">
      <c r="A10">
        <v>9</v>
      </c>
      <c r="B10" t="s">
        <v>72</v>
      </c>
      <c r="C10" t="s">
        <v>38</v>
      </c>
      <c r="D10" t="s">
        <v>34</v>
      </c>
      <c r="E10" t="s">
        <v>54</v>
      </c>
      <c r="F10" t="s">
        <v>24</v>
      </c>
      <c r="G10" t="s">
        <v>34</v>
      </c>
      <c r="H10" t="s">
        <v>25</v>
      </c>
      <c r="I10">
        <v>193</v>
      </c>
      <c r="J10">
        <v>8</v>
      </c>
      <c r="K10">
        <v>170</v>
      </c>
      <c r="L10">
        <v>8</v>
      </c>
      <c r="M10" t="s">
        <v>54</v>
      </c>
      <c r="N10" t="s">
        <v>55</v>
      </c>
      <c r="O10">
        <v>23</v>
      </c>
      <c r="P10" t="s">
        <v>73</v>
      </c>
      <c r="Q10" t="s">
        <v>73</v>
      </c>
      <c r="R10">
        <v>100</v>
      </c>
      <c r="S10" t="s">
        <v>74</v>
      </c>
      <c r="T10" t="s">
        <v>75</v>
      </c>
    </row>
    <row r="11" spans="1:20" x14ac:dyDescent="0.3">
      <c r="A11">
        <v>10</v>
      </c>
      <c r="B11" t="s">
        <v>72</v>
      </c>
      <c r="C11" t="s">
        <v>52</v>
      </c>
      <c r="D11" t="s">
        <v>33</v>
      </c>
      <c r="E11" t="s">
        <v>46</v>
      </c>
      <c r="F11" t="s">
        <v>24</v>
      </c>
      <c r="G11" t="s">
        <v>33</v>
      </c>
      <c r="H11" t="s">
        <v>25</v>
      </c>
      <c r="I11">
        <v>171</v>
      </c>
      <c r="J11">
        <v>6</v>
      </c>
      <c r="K11">
        <v>157</v>
      </c>
      <c r="L11">
        <v>9</v>
      </c>
      <c r="M11" t="s">
        <v>46</v>
      </c>
      <c r="N11" t="s">
        <v>55</v>
      </c>
      <c r="O11">
        <v>14</v>
      </c>
      <c r="P11" t="s">
        <v>76</v>
      </c>
      <c r="Q11" t="s">
        <v>77</v>
      </c>
      <c r="R11">
        <v>84</v>
      </c>
      <c r="S11" t="s">
        <v>76</v>
      </c>
      <c r="T11" t="s">
        <v>78</v>
      </c>
    </row>
    <row r="12" spans="1:20" x14ac:dyDescent="0.3">
      <c r="A12">
        <v>11</v>
      </c>
      <c r="B12" t="s">
        <v>79</v>
      </c>
      <c r="C12" t="s">
        <v>32</v>
      </c>
      <c r="D12" t="s">
        <v>22</v>
      </c>
      <c r="E12" t="s">
        <v>40</v>
      </c>
      <c r="F12" t="s">
        <v>24</v>
      </c>
      <c r="G12" t="s">
        <v>22</v>
      </c>
      <c r="H12" t="s">
        <v>25</v>
      </c>
      <c r="I12">
        <v>180</v>
      </c>
      <c r="J12">
        <v>8</v>
      </c>
      <c r="K12">
        <v>126</v>
      </c>
      <c r="L12">
        <v>10</v>
      </c>
      <c r="M12" t="s">
        <v>40</v>
      </c>
      <c r="N12" t="s">
        <v>55</v>
      </c>
      <c r="O12">
        <v>54</v>
      </c>
      <c r="P12" t="s">
        <v>80</v>
      </c>
      <c r="Q12" t="s">
        <v>80</v>
      </c>
      <c r="R12">
        <v>60</v>
      </c>
      <c r="S12" t="s">
        <v>81</v>
      </c>
      <c r="T12" t="s">
        <v>50</v>
      </c>
    </row>
    <row r="13" spans="1:20" x14ac:dyDescent="0.3">
      <c r="A13">
        <v>12</v>
      </c>
      <c r="B13" t="s">
        <v>82</v>
      </c>
      <c r="C13" t="s">
        <v>38</v>
      </c>
      <c r="D13" t="s">
        <v>53</v>
      </c>
      <c r="E13" t="s">
        <v>47</v>
      </c>
      <c r="F13" t="s">
        <v>24</v>
      </c>
      <c r="G13" t="s">
        <v>53</v>
      </c>
      <c r="H13" t="s">
        <v>25</v>
      </c>
      <c r="I13">
        <v>169</v>
      </c>
      <c r="J13">
        <v>7</v>
      </c>
      <c r="K13">
        <v>157</v>
      </c>
      <c r="L13">
        <v>9</v>
      </c>
      <c r="M13" t="s">
        <v>47</v>
      </c>
      <c r="N13" t="s">
        <v>55</v>
      </c>
      <c r="O13">
        <v>12</v>
      </c>
      <c r="P13" t="s">
        <v>83</v>
      </c>
      <c r="Q13" t="s">
        <v>84</v>
      </c>
      <c r="R13">
        <v>68</v>
      </c>
      <c r="S13" t="s">
        <v>83</v>
      </c>
      <c r="T13" t="s">
        <v>85</v>
      </c>
    </row>
    <row r="14" spans="1:20" x14ac:dyDescent="0.3">
      <c r="A14">
        <v>13</v>
      </c>
      <c r="B14" t="s">
        <v>86</v>
      </c>
      <c r="C14" t="s">
        <v>21</v>
      </c>
      <c r="D14" t="s">
        <v>39</v>
      </c>
      <c r="E14" t="s">
        <v>54</v>
      </c>
      <c r="F14" t="s">
        <v>24</v>
      </c>
      <c r="G14" t="s">
        <v>39</v>
      </c>
      <c r="H14" t="s">
        <v>25</v>
      </c>
      <c r="I14">
        <v>169</v>
      </c>
      <c r="J14">
        <v>3</v>
      </c>
      <c r="K14">
        <v>173</v>
      </c>
      <c r="L14">
        <v>6</v>
      </c>
      <c r="M14" t="s">
        <v>39</v>
      </c>
      <c r="N14" t="s">
        <v>26</v>
      </c>
      <c r="O14">
        <v>4</v>
      </c>
      <c r="P14" t="s">
        <v>87</v>
      </c>
      <c r="Q14" t="s">
        <v>73</v>
      </c>
      <c r="R14">
        <v>70</v>
      </c>
      <c r="S14" t="s">
        <v>58</v>
      </c>
      <c r="T14" t="s">
        <v>88</v>
      </c>
    </row>
    <row r="15" spans="1:20" x14ac:dyDescent="0.3">
      <c r="A15">
        <v>14</v>
      </c>
      <c r="B15" t="s">
        <v>89</v>
      </c>
      <c r="C15" t="s">
        <v>52</v>
      </c>
      <c r="D15" t="s">
        <v>23</v>
      </c>
      <c r="E15" t="s">
        <v>34</v>
      </c>
      <c r="F15" t="s">
        <v>24</v>
      </c>
      <c r="G15" t="s">
        <v>23</v>
      </c>
      <c r="H15" t="s">
        <v>25</v>
      </c>
      <c r="I15">
        <v>161</v>
      </c>
      <c r="J15">
        <v>4</v>
      </c>
      <c r="K15">
        <v>162</v>
      </c>
      <c r="L15">
        <v>5</v>
      </c>
      <c r="M15" t="s">
        <v>23</v>
      </c>
      <c r="N15" t="s">
        <v>26</v>
      </c>
      <c r="O15">
        <v>5</v>
      </c>
      <c r="P15" t="s">
        <v>90</v>
      </c>
      <c r="Q15" t="s">
        <v>90</v>
      </c>
      <c r="R15">
        <v>56</v>
      </c>
      <c r="S15" t="s">
        <v>91</v>
      </c>
      <c r="T15" t="s">
        <v>92</v>
      </c>
    </row>
    <row r="16" spans="1:20" x14ac:dyDescent="0.3">
      <c r="A16">
        <v>15</v>
      </c>
      <c r="B16" t="s">
        <v>93</v>
      </c>
      <c r="C16" t="s">
        <v>38</v>
      </c>
      <c r="D16" t="s">
        <v>33</v>
      </c>
      <c r="E16" t="s">
        <v>47</v>
      </c>
      <c r="F16" t="s">
        <v>24</v>
      </c>
      <c r="G16" t="s">
        <v>47</v>
      </c>
      <c r="H16" t="s">
        <v>25</v>
      </c>
      <c r="I16">
        <v>149</v>
      </c>
      <c r="J16">
        <v>3</v>
      </c>
      <c r="K16">
        <v>155</v>
      </c>
      <c r="L16">
        <v>4</v>
      </c>
      <c r="M16" t="s">
        <v>47</v>
      </c>
      <c r="N16" t="s">
        <v>26</v>
      </c>
      <c r="O16">
        <v>6</v>
      </c>
      <c r="P16" t="s">
        <v>66</v>
      </c>
      <c r="Q16" t="s">
        <v>66</v>
      </c>
      <c r="R16">
        <v>80</v>
      </c>
      <c r="S16" t="s">
        <v>67</v>
      </c>
      <c r="T16" t="s">
        <v>94</v>
      </c>
    </row>
    <row r="17" spans="1:20" x14ac:dyDescent="0.3">
      <c r="A17">
        <v>16</v>
      </c>
      <c r="B17" t="s">
        <v>95</v>
      </c>
      <c r="C17" t="s">
        <v>32</v>
      </c>
      <c r="D17" t="s">
        <v>46</v>
      </c>
      <c r="E17" t="s">
        <v>40</v>
      </c>
      <c r="F17" t="s">
        <v>24</v>
      </c>
      <c r="G17" t="s">
        <v>46</v>
      </c>
      <c r="H17" t="s">
        <v>25</v>
      </c>
      <c r="I17">
        <v>189</v>
      </c>
      <c r="J17">
        <v>9</v>
      </c>
      <c r="K17">
        <v>190</v>
      </c>
      <c r="L17">
        <v>4</v>
      </c>
      <c r="M17" t="s">
        <v>46</v>
      </c>
      <c r="N17" t="s">
        <v>26</v>
      </c>
      <c r="O17">
        <v>6</v>
      </c>
      <c r="P17" t="s">
        <v>77</v>
      </c>
      <c r="Q17" t="s">
        <v>77</v>
      </c>
      <c r="R17">
        <v>96</v>
      </c>
      <c r="S17" t="s">
        <v>96</v>
      </c>
      <c r="T17" t="s">
        <v>59</v>
      </c>
    </row>
    <row r="18" spans="1:20" x14ac:dyDescent="0.3">
      <c r="A18">
        <v>17</v>
      </c>
      <c r="B18" t="s">
        <v>97</v>
      </c>
      <c r="C18" t="s">
        <v>38</v>
      </c>
      <c r="D18" t="s">
        <v>22</v>
      </c>
      <c r="E18" t="s">
        <v>53</v>
      </c>
      <c r="F18" t="s">
        <v>24</v>
      </c>
      <c r="G18" t="s">
        <v>53</v>
      </c>
      <c r="H18" t="s">
        <v>25</v>
      </c>
      <c r="I18">
        <v>154</v>
      </c>
      <c r="J18">
        <v>7</v>
      </c>
      <c r="K18">
        <v>155</v>
      </c>
      <c r="L18">
        <v>2</v>
      </c>
      <c r="M18" t="s">
        <v>53</v>
      </c>
      <c r="N18" t="s">
        <v>26</v>
      </c>
      <c r="O18">
        <v>8</v>
      </c>
      <c r="P18" t="s">
        <v>98</v>
      </c>
      <c r="Q18" t="s">
        <v>98</v>
      </c>
      <c r="R18">
        <v>75</v>
      </c>
      <c r="S18" t="s">
        <v>99</v>
      </c>
      <c r="T18" t="s">
        <v>100</v>
      </c>
    </row>
    <row r="19" spans="1:20" x14ac:dyDescent="0.3">
      <c r="A19">
        <v>18</v>
      </c>
      <c r="B19" t="s">
        <v>97</v>
      </c>
      <c r="C19" t="s">
        <v>52</v>
      </c>
      <c r="D19" t="s">
        <v>39</v>
      </c>
      <c r="E19" t="s">
        <v>34</v>
      </c>
      <c r="F19" t="s">
        <v>24</v>
      </c>
      <c r="G19" t="s">
        <v>39</v>
      </c>
      <c r="H19" t="s">
        <v>25</v>
      </c>
      <c r="I19">
        <v>151</v>
      </c>
      <c r="J19">
        <v>6</v>
      </c>
      <c r="K19">
        <v>152</v>
      </c>
      <c r="L19">
        <v>3</v>
      </c>
      <c r="M19" t="s">
        <v>39</v>
      </c>
      <c r="N19" t="s">
        <v>26</v>
      </c>
      <c r="O19">
        <v>7</v>
      </c>
      <c r="P19" t="s">
        <v>101</v>
      </c>
      <c r="Q19" t="s">
        <v>102</v>
      </c>
      <c r="R19">
        <v>68</v>
      </c>
      <c r="S19" t="s">
        <v>103</v>
      </c>
      <c r="T19" t="s">
        <v>104</v>
      </c>
    </row>
    <row r="20" spans="1:20" x14ac:dyDescent="0.3">
      <c r="A20">
        <v>19</v>
      </c>
      <c r="B20" t="s">
        <v>105</v>
      </c>
      <c r="C20" t="s">
        <v>32</v>
      </c>
      <c r="D20" t="s">
        <v>33</v>
      </c>
      <c r="E20" t="s">
        <v>23</v>
      </c>
      <c r="F20" t="s">
        <v>24</v>
      </c>
      <c r="G20" t="s">
        <v>23</v>
      </c>
      <c r="H20" t="s">
        <v>25</v>
      </c>
      <c r="I20">
        <v>215</v>
      </c>
      <c r="J20">
        <v>5</v>
      </c>
      <c r="K20">
        <v>171</v>
      </c>
      <c r="L20">
        <v>10</v>
      </c>
      <c r="M20" t="s">
        <v>33</v>
      </c>
      <c r="N20" t="s">
        <v>55</v>
      </c>
      <c r="O20">
        <v>44</v>
      </c>
      <c r="P20" t="s">
        <v>35</v>
      </c>
      <c r="Q20" t="s">
        <v>106</v>
      </c>
      <c r="R20">
        <v>61</v>
      </c>
      <c r="S20" t="s">
        <v>35</v>
      </c>
      <c r="T20" t="s">
        <v>107</v>
      </c>
    </row>
    <row r="21" spans="1:20" x14ac:dyDescent="0.3">
      <c r="A21">
        <v>20</v>
      </c>
      <c r="B21" t="s">
        <v>105</v>
      </c>
      <c r="C21" t="s">
        <v>21</v>
      </c>
      <c r="D21" t="s">
        <v>47</v>
      </c>
      <c r="E21" t="s">
        <v>54</v>
      </c>
      <c r="F21" t="s">
        <v>24</v>
      </c>
      <c r="G21" t="s">
        <v>47</v>
      </c>
      <c r="H21" t="s">
        <v>25</v>
      </c>
      <c r="I21">
        <v>165</v>
      </c>
      <c r="J21">
        <v>6</v>
      </c>
      <c r="K21">
        <v>162</v>
      </c>
      <c r="L21">
        <v>8</v>
      </c>
      <c r="M21" t="s">
        <v>54</v>
      </c>
      <c r="N21" t="s">
        <v>55</v>
      </c>
      <c r="O21">
        <v>3</v>
      </c>
      <c r="P21" t="s">
        <v>58</v>
      </c>
      <c r="Q21" t="s">
        <v>108</v>
      </c>
      <c r="R21">
        <v>59</v>
      </c>
      <c r="S21" t="s">
        <v>58</v>
      </c>
      <c r="T21" t="s">
        <v>109</v>
      </c>
    </row>
    <row r="22" spans="1:20" x14ac:dyDescent="0.3">
      <c r="A22">
        <v>21</v>
      </c>
      <c r="B22" t="s">
        <v>110</v>
      </c>
      <c r="C22" t="s">
        <v>38</v>
      </c>
      <c r="D22" t="s">
        <v>46</v>
      </c>
      <c r="E22" t="s">
        <v>53</v>
      </c>
      <c r="F22" t="s">
        <v>24</v>
      </c>
      <c r="G22" t="s">
        <v>53</v>
      </c>
      <c r="H22" t="s">
        <v>25</v>
      </c>
      <c r="I22">
        <v>162</v>
      </c>
      <c r="J22">
        <v>7</v>
      </c>
      <c r="K22">
        <v>168</v>
      </c>
      <c r="L22">
        <v>2</v>
      </c>
      <c r="M22" t="s">
        <v>53</v>
      </c>
      <c r="N22" t="s">
        <v>26</v>
      </c>
      <c r="O22">
        <v>8</v>
      </c>
      <c r="P22" t="s">
        <v>111</v>
      </c>
      <c r="Q22" t="s">
        <v>111</v>
      </c>
      <c r="R22">
        <v>57</v>
      </c>
      <c r="S22" t="s">
        <v>112</v>
      </c>
      <c r="T22" t="s">
        <v>113</v>
      </c>
    </row>
    <row r="23" spans="1:20" x14ac:dyDescent="0.3">
      <c r="A23">
        <v>22</v>
      </c>
      <c r="B23" t="s">
        <v>114</v>
      </c>
      <c r="C23" t="s">
        <v>38</v>
      </c>
      <c r="D23" t="s">
        <v>39</v>
      </c>
      <c r="E23" t="s">
        <v>22</v>
      </c>
      <c r="F23" t="s">
        <v>24</v>
      </c>
      <c r="G23" t="s">
        <v>39</v>
      </c>
      <c r="H23" t="s">
        <v>25</v>
      </c>
      <c r="I23">
        <v>216</v>
      </c>
      <c r="J23">
        <v>4</v>
      </c>
      <c r="K23">
        <v>193</v>
      </c>
      <c r="L23">
        <v>9</v>
      </c>
      <c r="M23" t="s">
        <v>22</v>
      </c>
      <c r="N23" t="s">
        <v>55</v>
      </c>
      <c r="O23">
        <v>23</v>
      </c>
      <c r="P23" t="s">
        <v>115</v>
      </c>
      <c r="Q23" t="s">
        <v>115</v>
      </c>
      <c r="R23">
        <v>95</v>
      </c>
      <c r="S23" t="s">
        <v>116</v>
      </c>
      <c r="T23" t="s">
        <v>117</v>
      </c>
    </row>
    <row r="24" spans="1:20" x14ac:dyDescent="0.3">
      <c r="A24">
        <v>23</v>
      </c>
      <c r="B24" t="s">
        <v>118</v>
      </c>
      <c r="C24" t="s">
        <v>52</v>
      </c>
      <c r="D24" t="s">
        <v>34</v>
      </c>
      <c r="E24" t="s">
        <v>40</v>
      </c>
      <c r="F24" t="s">
        <v>24</v>
      </c>
      <c r="G24" t="s">
        <v>34</v>
      </c>
      <c r="H24" t="s">
        <v>25</v>
      </c>
      <c r="I24">
        <v>198</v>
      </c>
      <c r="J24">
        <v>5</v>
      </c>
      <c r="K24">
        <v>186</v>
      </c>
      <c r="L24">
        <v>9</v>
      </c>
      <c r="M24" t="s">
        <v>40</v>
      </c>
      <c r="N24" t="s">
        <v>55</v>
      </c>
      <c r="O24">
        <v>12</v>
      </c>
      <c r="P24" t="s">
        <v>119</v>
      </c>
      <c r="Q24" t="s">
        <v>120</v>
      </c>
      <c r="R24">
        <v>70</v>
      </c>
      <c r="S24" t="s">
        <v>41</v>
      </c>
      <c r="T24" t="s">
        <v>121</v>
      </c>
    </row>
    <row r="25" spans="1:20" x14ac:dyDescent="0.3">
      <c r="A25">
        <v>24</v>
      </c>
      <c r="B25" t="s">
        <v>122</v>
      </c>
      <c r="C25" t="s">
        <v>38</v>
      </c>
      <c r="D25" t="s">
        <v>46</v>
      </c>
      <c r="E25" t="s">
        <v>54</v>
      </c>
      <c r="F25" t="s">
        <v>24</v>
      </c>
      <c r="G25" t="s">
        <v>54</v>
      </c>
      <c r="H25" t="s">
        <v>25</v>
      </c>
      <c r="I25">
        <v>192</v>
      </c>
      <c r="J25">
        <v>4</v>
      </c>
      <c r="K25">
        <v>155</v>
      </c>
      <c r="L25">
        <v>9</v>
      </c>
      <c r="M25" t="s">
        <v>46</v>
      </c>
      <c r="N25" t="s">
        <v>55</v>
      </c>
      <c r="O25">
        <v>37</v>
      </c>
      <c r="P25" t="s">
        <v>123</v>
      </c>
      <c r="Q25" t="s">
        <v>123</v>
      </c>
      <c r="R25">
        <v>87</v>
      </c>
      <c r="S25" t="s">
        <v>76</v>
      </c>
      <c r="T25" t="s">
        <v>124</v>
      </c>
    </row>
    <row r="26" spans="1:20" x14ac:dyDescent="0.3">
      <c r="A26">
        <v>25</v>
      </c>
      <c r="B26" t="s">
        <v>125</v>
      </c>
      <c r="C26" t="s">
        <v>32</v>
      </c>
      <c r="D26" t="s">
        <v>53</v>
      </c>
      <c r="E26" t="s">
        <v>23</v>
      </c>
      <c r="F26" t="s">
        <v>24</v>
      </c>
      <c r="G26" t="s">
        <v>53</v>
      </c>
      <c r="H26" t="s">
        <v>25</v>
      </c>
      <c r="I26">
        <v>175</v>
      </c>
      <c r="J26">
        <v>8</v>
      </c>
      <c r="K26">
        <v>176</v>
      </c>
      <c r="L26">
        <v>3</v>
      </c>
      <c r="M26" t="s">
        <v>53</v>
      </c>
      <c r="N26" t="s">
        <v>26</v>
      </c>
      <c r="O26">
        <v>7</v>
      </c>
      <c r="P26" t="s">
        <v>126</v>
      </c>
      <c r="Q26" t="s">
        <v>126</v>
      </c>
      <c r="R26">
        <v>71</v>
      </c>
      <c r="S26" t="s">
        <v>112</v>
      </c>
      <c r="T26" t="s">
        <v>127</v>
      </c>
    </row>
    <row r="27" spans="1:20" x14ac:dyDescent="0.3">
      <c r="A27">
        <v>26</v>
      </c>
      <c r="B27" t="s">
        <v>128</v>
      </c>
      <c r="C27" t="s">
        <v>32</v>
      </c>
      <c r="D27" t="s">
        <v>47</v>
      </c>
      <c r="E27" t="s">
        <v>34</v>
      </c>
      <c r="F27" t="s">
        <v>24</v>
      </c>
      <c r="G27" t="s">
        <v>34</v>
      </c>
      <c r="H27" t="s">
        <v>25</v>
      </c>
      <c r="I27">
        <v>199</v>
      </c>
      <c r="J27">
        <v>4</v>
      </c>
      <c r="K27">
        <v>181</v>
      </c>
      <c r="L27">
        <v>9</v>
      </c>
      <c r="M27" t="s">
        <v>47</v>
      </c>
      <c r="N27" t="s">
        <v>55</v>
      </c>
      <c r="O27">
        <v>18</v>
      </c>
      <c r="P27" t="s">
        <v>129</v>
      </c>
      <c r="Q27" t="s">
        <v>84</v>
      </c>
      <c r="R27">
        <v>103</v>
      </c>
      <c r="S27" t="s">
        <v>83</v>
      </c>
      <c r="T27" t="s">
        <v>130</v>
      </c>
    </row>
    <row r="28" spans="1:20" x14ac:dyDescent="0.3">
      <c r="A28">
        <v>27</v>
      </c>
      <c r="B28" t="s">
        <v>128</v>
      </c>
      <c r="C28" t="s">
        <v>21</v>
      </c>
      <c r="D28" t="s">
        <v>39</v>
      </c>
      <c r="E28" t="s">
        <v>33</v>
      </c>
      <c r="F28" t="s">
        <v>24</v>
      </c>
      <c r="G28" t="s">
        <v>33</v>
      </c>
      <c r="H28" t="s">
        <v>25</v>
      </c>
      <c r="I28">
        <v>189</v>
      </c>
      <c r="J28">
        <v>5</v>
      </c>
      <c r="K28">
        <v>173</v>
      </c>
      <c r="L28">
        <v>7</v>
      </c>
      <c r="M28" t="s">
        <v>39</v>
      </c>
      <c r="N28" t="s">
        <v>55</v>
      </c>
      <c r="O28">
        <v>16</v>
      </c>
      <c r="P28" t="s">
        <v>87</v>
      </c>
      <c r="Q28" t="s">
        <v>87</v>
      </c>
      <c r="R28">
        <v>66</v>
      </c>
      <c r="S28" t="s">
        <v>131</v>
      </c>
      <c r="T28" t="s">
        <v>132</v>
      </c>
    </row>
    <row r="29" spans="1:20" x14ac:dyDescent="0.3">
      <c r="A29">
        <v>28</v>
      </c>
      <c r="B29" t="s">
        <v>133</v>
      </c>
      <c r="C29" t="s">
        <v>38</v>
      </c>
      <c r="D29" t="s">
        <v>53</v>
      </c>
      <c r="E29" t="s">
        <v>40</v>
      </c>
      <c r="F29" t="s">
        <v>24</v>
      </c>
      <c r="G29" t="s">
        <v>53</v>
      </c>
      <c r="H29" t="s">
        <v>25</v>
      </c>
      <c r="I29">
        <v>151</v>
      </c>
      <c r="J29">
        <v>10</v>
      </c>
      <c r="K29">
        <v>152</v>
      </c>
      <c r="L29">
        <v>3</v>
      </c>
      <c r="M29" t="s">
        <v>53</v>
      </c>
      <c r="N29" t="s">
        <v>26</v>
      </c>
      <c r="O29">
        <v>7</v>
      </c>
      <c r="P29" t="s">
        <v>134</v>
      </c>
      <c r="Q29" t="s">
        <v>80</v>
      </c>
      <c r="R29">
        <v>60</v>
      </c>
      <c r="S29" t="s">
        <v>134</v>
      </c>
      <c r="T29" t="s">
        <v>78</v>
      </c>
    </row>
    <row r="30" spans="1:20" x14ac:dyDescent="0.3">
      <c r="A30">
        <v>29</v>
      </c>
      <c r="B30" t="s">
        <v>133</v>
      </c>
      <c r="C30" t="s">
        <v>52</v>
      </c>
      <c r="D30" t="s">
        <v>22</v>
      </c>
      <c r="E30" t="s">
        <v>46</v>
      </c>
      <c r="F30" t="s">
        <v>24</v>
      </c>
      <c r="G30" t="s">
        <v>46</v>
      </c>
      <c r="H30" t="s">
        <v>25</v>
      </c>
      <c r="I30">
        <v>169</v>
      </c>
      <c r="J30">
        <v>5</v>
      </c>
      <c r="K30">
        <v>170</v>
      </c>
      <c r="L30">
        <v>7</v>
      </c>
      <c r="M30" t="s">
        <v>46</v>
      </c>
      <c r="N30" t="s">
        <v>26</v>
      </c>
      <c r="O30">
        <v>3</v>
      </c>
      <c r="P30" t="s">
        <v>135</v>
      </c>
      <c r="Q30" t="s">
        <v>135</v>
      </c>
      <c r="R30">
        <v>94</v>
      </c>
      <c r="S30" t="s">
        <v>29</v>
      </c>
      <c r="T30" t="s">
        <v>124</v>
      </c>
    </row>
    <row r="31" spans="1:20" x14ac:dyDescent="0.3">
      <c r="A31">
        <v>30</v>
      </c>
      <c r="B31" t="s">
        <v>136</v>
      </c>
      <c r="C31" t="s">
        <v>32</v>
      </c>
      <c r="D31" t="s">
        <v>23</v>
      </c>
      <c r="E31" t="s">
        <v>54</v>
      </c>
      <c r="F31" t="s">
        <v>24</v>
      </c>
      <c r="G31" t="s">
        <v>23</v>
      </c>
      <c r="H31" t="s">
        <v>25</v>
      </c>
      <c r="I31">
        <v>217</v>
      </c>
      <c r="J31">
        <v>5</v>
      </c>
      <c r="K31">
        <v>210</v>
      </c>
      <c r="L31">
        <v>10</v>
      </c>
      <c r="M31" t="s">
        <v>54</v>
      </c>
      <c r="N31" t="s">
        <v>55</v>
      </c>
      <c r="O31">
        <v>7</v>
      </c>
      <c r="P31" t="s">
        <v>58</v>
      </c>
      <c r="Q31" t="s">
        <v>73</v>
      </c>
      <c r="R31">
        <v>103</v>
      </c>
      <c r="S31" t="s">
        <v>58</v>
      </c>
      <c r="T31" t="s">
        <v>137</v>
      </c>
    </row>
    <row r="32" spans="1:20" x14ac:dyDescent="0.3">
      <c r="A32">
        <v>31</v>
      </c>
      <c r="B32" t="s">
        <v>138</v>
      </c>
      <c r="C32" t="s">
        <v>38</v>
      </c>
      <c r="D32" t="s">
        <v>39</v>
      </c>
      <c r="E32" t="s">
        <v>47</v>
      </c>
      <c r="F32" t="s">
        <v>24</v>
      </c>
      <c r="G32" t="s">
        <v>47</v>
      </c>
      <c r="H32" t="s">
        <v>25</v>
      </c>
      <c r="I32">
        <v>181</v>
      </c>
      <c r="J32">
        <v>6</v>
      </c>
      <c r="K32">
        <v>163</v>
      </c>
      <c r="L32">
        <v>8</v>
      </c>
      <c r="M32" t="s">
        <v>39</v>
      </c>
      <c r="N32" t="s">
        <v>55</v>
      </c>
      <c r="O32">
        <v>18</v>
      </c>
      <c r="P32" t="s">
        <v>42</v>
      </c>
      <c r="Q32" t="s">
        <v>42</v>
      </c>
      <c r="R32">
        <v>96</v>
      </c>
      <c r="S32" t="s">
        <v>131</v>
      </c>
      <c r="T32" t="s">
        <v>139</v>
      </c>
    </row>
    <row r="33" spans="1:20" x14ac:dyDescent="0.3">
      <c r="A33">
        <v>32</v>
      </c>
      <c r="B33" t="s">
        <v>140</v>
      </c>
      <c r="C33" t="s">
        <v>32</v>
      </c>
      <c r="D33" t="s">
        <v>33</v>
      </c>
      <c r="E33" t="s">
        <v>40</v>
      </c>
      <c r="F33" t="s">
        <v>24</v>
      </c>
      <c r="G33" t="s">
        <v>33</v>
      </c>
      <c r="H33" t="s">
        <v>25</v>
      </c>
      <c r="I33">
        <v>115</v>
      </c>
      <c r="J33">
        <v>10</v>
      </c>
      <c r="K33">
        <v>119</v>
      </c>
      <c r="L33">
        <v>1</v>
      </c>
      <c r="M33" t="s">
        <v>33</v>
      </c>
      <c r="N33" t="s">
        <v>26</v>
      </c>
      <c r="O33">
        <v>9</v>
      </c>
      <c r="P33" t="s">
        <v>35</v>
      </c>
      <c r="Q33" t="s">
        <v>106</v>
      </c>
      <c r="R33">
        <v>60</v>
      </c>
      <c r="S33" t="s">
        <v>141</v>
      </c>
      <c r="T33" t="s">
        <v>142</v>
      </c>
    </row>
    <row r="34" spans="1:20" x14ac:dyDescent="0.3">
      <c r="A34">
        <v>33</v>
      </c>
      <c r="B34" t="s">
        <v>143</v>
      </c>
      <c r="C34" t="s">
        <v>38</v>
      </c>
      <c r="D34" t="s">
        <v>22</v>
      </c>
      <c r="E34" t="s">
        <v>34</v>
      </c>
      <c r="F34" t="s">
        <v>24</v>
      </c>
      <c r="G34" t="s">
        <v>22</v>
      </c>
      <c r="H34" t="s">
        <v>25</v>
      </c>
      <c r="I34">
        <v>155</v>
      </c>
      <c r="J34">
        <v>7</v>
      </c>
      <c r="K34">
        <v>156</v>
      </c>
      <c r="L34">
        <v>7</v>
      </c>
      <c r="M34" t="s">
        <v>22</v>
      </c>
      <c r="N34" t="s">
        <v>26</v>
      </c>
      <c r="O34">
        <v>3</v>
      </c>
      <c r="P34" t="s">
        <v>144</v>
      </c>
      <c r="Q34" t="s">
        <v>145</v>
      </c>
      <c r="R34">
        <v>51</v>
      </c>
      <c r="S34" t="s">
        <v>146</v>
      </c>
      <c r="T34" t="s">
        <v>121</v>
      </c>
    </row>
    <row r="35" spans="1:20" x14ac:dyDescent="0.3">
      <c r="A35">
        <v>34</v>
      </c>
      <c r="B35" t="s">
        <v>147</v>
      </c>
      <c r="C35" t="s">
        <v>21</v>
      </c>
      <c r="D35" t="s">
        <v>33</v>
      </c>
      <c r="E35" t="s">
        <v>54</v>
      </c>
      <c r="F35" t="s">
        <v>24</v>
      </c>
      <c r="G35" t="s">
        <v>33</v>
      </c>
      <c r="H35" t="s">
        <v>25</v>
      </c>
      <c r="I35">
        <v>222</v>
      </c>
      <c r="J35">
        <v>2</v>
      </c>
      <c r="K35">
        <v>207</v>
      </c>
      <c r="L35">
        <v>8</v>
      </c>
      <c r="M35" t="s">
        <v>54</v>
      </c>
      <c r="N35" t="s">
        <v>55</v>
      </c>
      <c r="O35">
        <v>15</v>
      </c>
      <c r="P35" t="s">
        <v>73</v>
      </c>
      <c r="Q35" t="s">
        <v>73</v>
      </c>
      <c r="R35">
        <v>116</v>
      </c>
      <c r="S35" t="s">
        <v>148</v>
      </c>
      <c r="T35" t="s">
        <v>59</v>
      </c>
    </row>
    <row r="36" spans="1:20" x14ac:dyDescent="0.3">
      <c r="A36">
        <v>35</v>
      </c>
      <c r="B36" t="s">
        <v>149</v>
      </c>
      <c r="C36" t="s">
        <v>38</v>
      </c>
      <c r="D36" t="s">
        <v>46</v>
      </c>
      <c r="E36" t="s">
        <v>23</v>
      </c>
      <c r="F36" t="s">
        <v>24</v>
      </c>
      <c r="G36" t="s">
        <v>46</v>
      </c>
      <c r="H36" t="s">
        <v>150</v>
      </c>
      <c r="I36">
        <v>156</v>
      </c>
      <c r="J36">
        <v>9</v>
      </c>
      <c r="K36">
        <v>148</v>
      </c>
      <c r="L36">
        <v>8</v>
      </c>
      <c r="M36" t="s">
        <v>46</v>
      </c>
      <c r="N36" t="s">
        <v>55</v>
      </c>
      <c r="O36">
        <v>8</v>
      </c>
      <c r="P36" t="s">
        <v>96</v>
      </c>
      <c r="Q36" t="s">
        <v>123</v>
      </c>
      <c r="R36">
        <v>67</v>
      </c>
      <c r="S36" t="s">
        <v>70</v>
      </c>
      <c r="T36" t="s">
        <v>151</v>
      </c>
    </row>
    <row r="37" spans="1:20" x14ac:dyDescent="0.3">
      <c r="A37">
        <v>36</v>
      </c>
      <c r="B37" t="s">
        <v>149</v>
      </c>
      <c r="C37" t="s">
        <v>32</v>
      </c>
      <c r="D37" t="s">
        <v>39</v>
      </c>
      <c r="E37" t="s">
        <v>53</v>
      </c>
      <c r="F37" t="s">
        <v>24</v>
      </c>
      <c r="G37" t="s">
        <v>53</v>
      </c>
      <c r="H37" t="s">
        <v>25</v>
      </c>
      <c r="I37">
        <v>68</v>
      </c>
      <c r="J37">
        <v>10</v>
      </c>
      <c r="K37">
        <v>72</v>
      </c>
      <c r="L37">
        <v>1</v>
      </c>
      <c r="M37" t="s">
        <v>53</v>
      </c>
      <c r="N37" t="s">
        <v>26</v>
      </c>
      <c r="O37">
        <v>9</v>
      </c>
      <c r="P37" t="s">
        <v>152</v>
      </c>
      <c r="Q37" t="s">
        <v>98</v>
      </c>
      <c r="R37">
        <v>47</v>
      </c>
      <c r="S37" t="s">
        <v>112</v>
      </c>
      <c r="T37" t="s">
        <v>153</v>
      </c>
    </row>
    <row r="38" spans="1:20" x14ac:dyDescent="0.3">
      <c r="A38">
        <v>37</v>
      </c>
      <c r="B38" t="s">
        <v>154</v>
      </c>
      <c r="C38" t="s">
        <v>21</v>
      </c>
      <c r="D38" t="s">
        <v>47</v>
      </c>
      <c r="E38" t="s">
        <v>34</v>
      </c>
      <c r="F38" t="s">
        <v>24</v>
      </c>
      <c r="G38" t="s">
        <v>34</v>
      </c>
      <c r="H38" t="s">
        <v>25</v>
      </c>
      <c r="I38">
        <v>168</v>
      </c>
      <c r="J38">
        <v>6</v>
      </c>
      <c r="K38">
        <v>132</v>
      </c>
      <c r="L38">
        <v>8</v>
      </c>
      <c r="M38" t="s">
        <v>47</v>
      </c>
      <c r="N38" t="s">
        <v>55</v>
      </c>
      <c r="O38">
        <v>36</v>
      </c>
      <c r="P38" t="s">
        <v>129</v>
      </c>
      <c r="Q38" t="s">
        <v>84</v>
      </c>
      <c r="R38">
        <v>103</v>
      </c>
      <c r="S38" t="s">
        <v>155</v>
      </c>
      <c r="T38" t="s">
        <v>156</v>
      </c>
    </row>
    <row r="39" spans="1:20" x14ac:dyDescent="0.3">
      <c r="A39">
        <v>38</v>
      </c>
      <c r="B39" t="s">
        <v>157</v>
      </c>
      <c r="C39" t="s">
        <v>21</v>
      </c>
      <c r="D39" t="s">
        <v>22</v>
      </c>
      <c r="E39" t="s">
        <v>40</v>
      </c>
      <c r="F39" t="s">
        <v>24</v>
      </c>
      <c r="G39" t="s">
        <v>22</v>
      </c>
      <c r="H39" t="s">
        <v>25</v>
      </c>
      <c r="I39">
        <v>187</v>
      </c>
      <c r="J39">
        <v>4</v>
      </c>
      <c r="K39">
        <v>176</v>
      </c>
      <c r="L39">
        <v>6</v>
      </c>
      <c r="M39" t="s">
        <v>40</v>
      </c>
      <c r="N39" t="s">
        <v>55</v>
      </c>
      <c r="O39">
        <v>11</v>
      </c>
      <c r="P39" t="s">
        <v>120</v>
      </c>
      <c r="Q39" t="s">
        <v>120</v>
      </c>
      <c r="R39">
        <v>88</v>
      </c>
      <c r="S39" t="s">
        <v>158</v>
      </c>
      <c r="T39" t="s">
        <v>104</v>
      </c>
    </row>
    <row r="40" spans="1:20" x14ac:dyDescent="0.3">
      <c r="A40">
        <v>39</v>
      </c>
      <c r="B40" t="s">
        <v>159</v>
      </c>
      <c r="C40" t="s">
        <v>52</v>
      </c>
      <c r="D40" t="s">
        <v>39</v>
      </c>
      <c r="E40" t="s">
        <v>54</v>
      </c>
      <c r="F40" t="s">
        <v>24</v>
      </c>
      <c r="G40" t="s">
        <v>39</v>
      </c>
      <c r="H40" t="s">
        <v>25</v>
      </c>
      <c r="I40">
        <v>144</v>
      </c>
      <c r="J40">
        <v>8</v>
      </c>
      <c r="K40">
        <v>115</v>
      </c>
      <c r="L40">
        <v>10</v>
      </c>
      <c r="M40" t="s">
        <v>54</v>
      </c>
      <c r="N40" t="s">
        <v>55</v>
      </c>
      <c r="O40">
        <v>29</v>
      </c>
      <c r="P40" t="s">
        <v>160</v>
      </c>
      <c r="Q40" t="s">
        <v>160</v>
      </c>
      <c r="R40">
        <v>56</v>
      </c>
      <c r="S40" t="s">
        <v>161</v>
      </c>
      <c r="T40" t="s">
        <v>63</v>
      </c>
    </row>
    <row r="41" spans="1:20" x14ac:dyDescent="0.3">
      <c r="A41">
        <v>40</v>
      </c>
      <c r="B41" t="s">
        <v>162</v>
      </c>
      <c r="C41" t="s">
        <v>21</v>
      </c>
      <c r="D41" t="s">
        <v>46</v>
      </c>
      <c r="E41" t="s">
        <v>53</v>
      </c>
      <c r="F41" t="s">
        <v>24</v>
      </c>
      <c r="G41" t="s">
        <v>46</v>
      </c>
      <c r="H41" t="s">
        <v>25</v>
      </c>
      <c r="I41">
        <v>195</v>
      </c>
      <c r="J41">
        <v>6</v>
      </c>
      <c r="K41">
        <v>199</v>
      </c>
      <c r="L41">
        <v>5</v>
      </c>
      <c r="M41" t="s">
        <v>46</v>
      </c>
      <c r="N41" t="s">
        <v>26</v>
      </c>
      <c r="O41">
        <v>5</v>
      </c>
      <c r="P41" t="s">
        <v>134</v>
      </c>
      <c r="Q41" t="s">
        <v>163</v>
      </c>
      <c r="R41">
        <v>68</v>
      </c>
      <c r="S41" t="s">
        <v>134</v>
      </c>
      <c r="T41" t="s">
        <v>164</v>
      </c>
    </row>
    <row r="42" spans="1:20" x14ac:dyDescent="0.3">
      <c r="A42">
        <v>41</v>
      </c>
      <c r="B42" t="s">
        <v>165</v>
      </c>
      <c r="C42" t="s">
        <v>21</v>
      </c>
      <c r="D42" t="s">
        <v>33</v>
      </c>
      <c r="E42" t="s">
        <v>23</v>
      </c>
      <c r="F42" t="s">
        <v>24</v>
      </c>
      <c r="G42" t="s">
        <v>33</v>
      </c>
      <c r="H42" t="s">
        <v>25</v>
      </c>
      <c r="I42">
        <v>146</v>
      </c>
      <c r="J42">
        <v>9</v>
      </c>
      <c r="K42">
        <v>150</v>
      </c>
      <c r="L42">
        <v>6</v>
      </c>
      <c r="M42" t="s">
        <v>33</v>
      </c>
      <c r="N42" t="s">
        <v>26</v>
      </c>
      <c r="O42">
        <v>4</v>
      </c>
      <c r="P42" t="s">
        <v>35</v>
      </c>
      <c r="Q42" t="s">
        <v>166</v>
      </c>
      <c r="R42">
        <v>57</v>
      </c>
      <c r="S42" t="s">
        <v>35</v>
      </c>
      <c r="T42" t="s">
        <v>167</v>
      </c>
    </row>
    <row r="43" spans="1:20" x14ac:dyDescent="0.3">
      <c r="A43">
        <v>42</v>
      </c>
      <c r="B43" t="s">
        <v>168</v>
      </c>
      <c r="C43" t="s">
        <v>52</v>
      </c>
      <c r="D43" t="s">
        <v>47</v>
      </c>
      <c r="E43" t="s">
        <v>40</v>
      </c>
      <c r="F43" t="s">
        <v>24</v>
      </c>
      <c r="G43" t="s">
        <v>40</v>
      </c>
      <c r="H43" t="s">
        <v>25</v>
      </c>
      <c r="I43">
        <v>153</v>
      </c>
      <c r="J43">
        <v>8</v>
      </c>
      <c r="K43">
        <v>133</v>
      </c>
      <c r="L43">
        <v>8</v>
      </c>
      <c r="M43" t="s">
        <v>47</v>
      </c>
      <c r="N43" t="s">
        <v>55</v>
      </c>
      <c r="O43">
        <v>20</v>
      </c>
      <c r="P43" t="s">
        <v>155</v>
      </c>
      <c r="Q43" t="s">
        <v>66</v>
      </c>
      <c r="R43">
        <v>46</v>
      </c>
      <c r="S43" t="s">
        <v>158</v>
      </c>
      <c r="T43" t="s">
        <v>169</v>
      </c>
    </row>
    <row r="44" spans="1:20" x14ac:dyDescent="0.3">
      <c r="A44">
        <v>43</v>
      </c>
      <c r="B44" t="s">
        <v>170</v>
      </c>
      <c r="C44" t="s">
        <v>32</v>
      </c>
      <c r="D44" t="s">
        <v>39</v>
      </c>
      <c r="E44" t="s">
        <v>46</v>
      </c>
      <c r="F44" t="s">
        <v>24</v>
      </c>
      <c r="G44" t="s">
        <v>39</v>
      </c>
      <c r="H44" t="s">
        <v>150</v>
      </c>
      <c r="I44">
        <v>170</v>
      </c>
      <c r="J44">
        <v>6</v>
      </c>
      <c r="K44">
        <v>174</v>
      </c>
      <c r="L44">
        <v>4</v>
      </c>
      <c r="M44" t="s">
        <v>46</v>
      </c>
      <c r="N44" t="s">
        <v>26</v>
      </c>
      <c r="O44">
        <v>6</v>
      </c>
      <c r="P44" t="s">
        <v>171</v>
      </c>
      <c r="Q44" t="s">
        <v>172</v>
      </c>
      <c r="R44">
        <v>58</v>
      </c>
      <c r="S44" t="s">
        <v>173</v>
      </c>
      <c r="T44" t="s">
        <v>174</v>
      </c>
    </row>
    <row r="45" spans="1:20" x14ac:dyDescent="0.3">
      <c r="A45">
        <v>44</v>
      </c>
      <c r="B45" t="s">
        <v>170</v>
      </c>
      <c r="C45" t="s">
        <v>38</v>
      </c>
      <c r="D45" t="s">
        <v>34</v>
      </c>
      <c r="E45" t="s">
        <v>54</v>
      </c>
      <c r="F45" t="s">
        <v>24</v>
      </c>
      <c r="G45" t="s">
        <v>34</v>
      </c>
      <c r="H45" t="s">
        <v>25</v>
      </c>
      <c r="I45">
        <v>158</v>
      </c>
      <c r="J45">
        <v>6</v>
      </c>
      <c r="K45">
        <v>161</v>
      </c>
      <c r="L45">
        <v>5</v>
      </c>
      <c r="M45" t="s">
        <v>34</v>
      </c>
      <c r="N45" t="s">
        <v>26</v>
      </c>
      <c r="O45">
        <v>5</v>
      </c>
      <c r="P45" t="s">
        <v>175</v>
      </c>
      <c r="Q45" t="s">
        <v>73</v>
      </c>
      <c r="R45">
        <v>67</v>
      </c>
      <c r="S45" t="s">
        <v>176</v>
      </c>
      <c r="T45" t="s">
        <v>68</v>
      </c>
    </row>
    <row r="46" spans="1:20" x14ac:dyDescent="0.3">
      <c r="A46">
        <v>45</v>
      </c>
      <c r="B46" t="s">
        <v>177</v>
      </c>
      <c r="C46" t="s">
        <v>21</v>
      </c>
      <c r="D46" t="s">
        <v>33</v>
      </c>
      <c r="E46" t="s">
        <v>47</v>
      </c>
      <c r="F46" t="s">
        <v>24</v>
      </c>
      <c r="G46" t="s">
        <v>47</v>
      </c>
      <c r="H46" t="s">
        <v>150</v>
      </c>
      <c r="I46">
        <v>195</v>
      </c>
      <c r="J46">
        <v>3</v>
      </c>
      <c r="K46">
        <v>189</v>
      </c>
      <c r="L46">
        <v>7</v>
      </c>
      <c r="M46" t="s">
        <v>47</v>
      </c>
      <c r="N46" t="s">
        <v>55</v>
      </c>
      <c r="O46">
        <v>6</v>
      </c>
      <c r="P46" t="s">
        <v>178</v>
      </c>
      <c r="Q46" t="s">
        <v>84</v>
      </c>
      <c r="R46">
        <v>77</v>
      </c>
      <c r="S46" t="s">
        <v>178</v>
      </c>
      <c r="T46" t="s">
        <v>179</v>
      </c>
    </row>
    <row r="47" spans="1:20" x14ac:dyDescent="0.3">
      <c r="A47">
        <v>46</v>
      </c>
      <c r="B47" t="s">
        <v>177</v>
      </c>
      <c r="C47" t="s">
        <v>52</v>
      </c>
      <c r="D47" t="s">
        <v>22</v>
      </c>
      <c r="E47" t="s">
        <v>53</v>
      </c>
      <c r="F47" t="s">
        <v>24</v>
      </c>
      <c r="G47" t="s">
        <v>53</v>
      </c>
      <c r="H47" t="s">
        <v>25</v>
      </c>
      <c r="I47">
        <v>202</v>
      </c>
      <c r="J47">
        <v>2</v>
      </c>
      <c r="K47">
        <v>189</v>
      </c>
      <c r="L47">
        <v>6</v>
      </c>
      <c r="M47" t="s">
        <v>22</v>
      </c>
      <c r="N47" t="s">
        <v>55</v>
      </c>
      <c r="O47">
        <v>13</v>
      </c>
      <c r="P47" t="s">
        <v>180</v>
      </c>
      <c r="Q47" t="s">
        <v>180</v>
      </c>
      <c r="R47">
        <v>99</v>
      </c>
      <c r="S47" t="s">
        <v>144</v>
      </c>
      <c r="T47" t="s">
        <v>181</v>
      </c>
    </row>
    <row r="48" spans="1:20" x14ac:dyDescent="0.3">
      <c r="A48">
        <v>47</v>
      </c>
      <c r="B48" t="s">
        <v>182</v>
      </c>
      <c r="C48" t="s">
        <v>21</v>
      </c>
      <c r="D48" t="s">
        <v>23</v>
      </c>
      <c r="E48" t="s">
        <v>54</v>
      </c>
      <c r="F48" t="s">
        <v>24</v>
      </c>
      <c r="G48" t="s">
        <v>23</v>
      </c>
      <c r="H48" t="s">
        <v>25</v>
      </c>
      <c r="I48">
        <v>152</v>
      </c>
      <c r="J48">
        <v>5</v>
      </c>
      <c r="K48">
        <v>158</v>
      </c>
      <c r="L48">
        <v>3</v>
      </c>
      <c r="M48" t="s">
        <v>23</v>
      </c>
      <c r="N48" t="s">
        <v>26</v>
      </c>
      <c r="O48">
        <v>7</v>
      </c>
      <c r="P48" t="s">
        <v>183</v>
      </c>
      <c r="Q48" t="s">
        <v>56</v>
      </c>
      <c r="R48">
        <v>54</v>
      </c>
      <c r="S48" t="s">
        <v>184</v>
      </c>
      <c r="T48" t="s">
        <v>185</v>
      </c>
    </row>
    <row r="49" spans="1:20" x14ac:dyDescent="0.3">
      <c r="A49">
        <v>48</v>
      </c>
      <c r="B49" t="s">
        <v>186</v>
      </c>
      <c r="C49" t="s">
        <v>38</v>
      </c>
      <c r="D49" t="s">
        <v>46</v>
      </c>
      <c r="E49" t="s">
        <v>40</v>
      </c>
      <c r="F49" t="s">
        <v>24</v>
      </c>
      <c r="G49" t="s">
        <v>46</v>
      </c>
      <c r="H49" t="s">
        <v>150</v>
      </c>
      <c r="I49">
        <v>143</v>
      </c>
      <c r="J49">
        <v>8</v>
      </c>
      <c r="K49">
        <v>145</v>
      </c>
      <c r="L49">
        <v>2</v>
      </c>
      <c r="M49" t="s">
        <v>40</v>
      </c>
      <c r="N49" t="s">
        <v>26</v>
      </c>
      <c r="O49">
        <v>8</v>
      </c>
      <c r="P49" t="s">
        <v>158</v>
      </c>
      <c r="Q49" t="s">
        <v>187</v>
      </c>
      <c r="R49">
        <v>65</v>
      </c>
      <c r="S49" t="s">
        <v>158</v>
      </c>
      <c r="T49" t="s">
        <v>117</v>
      </c>
    </row>
    <row r="50" spans="1:20" x14ac:dyDescent="0.3">
      <c r="A50">
        <v>49</v>
      </c>
      <c r="B50" t="s">
        <v>188</v>
      </c>
      <c r="C50" t="s">
        <v>52</v>
      </c>
      <c r="D50" t="s">
        <v>39</v>
      </c>
      <c r="E50" t="s">
        <v>22</v>
      </c>
      <c r="F50" t="s">
        <v>24</v>
      </c>
      <c r="G50" t="s">
        <v>22</v>
      </c>
      <c r="H50" t="s">
        <v>25</v>
      </c>
      <c r="I50">
        <v>173</v>
      </c>
      <c r="J50">
        <v>8</v>
      </c>
      <c r="K50">
        <v>160</v>
      </c>
      <c r="L50">
        <v>8</v>
      </c>
      <c r="M50" t="s">
        <v>39</v>
      </c>
      <c r="N50" t="s">
        <v>55</v>
      </c>
      <c r="O50">
        <v>13</v>
      </c>
      <c r="P50" t="s">
        <v>103</v>
      </c>
      <c r="Q50" t="s">
        <v>189</v>
      </c>
      <c r="R50">
        <v>56</v>
      </c>
      <c r="S50" t="s">
        <v>116</v>
      </c>
      <c r="T50" t="s">
        <v>190</v>
      </c>
    </row>
    <row r="51" spans="1:20" x14ac:dyDescent="0.3">
      <c r="A51">
        <v>50</v>
      </c>
      <c r="B51" t="s">
        <v>191</v>
      </c>
      <c r="C51" t="s">
        <v>32</v>
      </c>
      <c r="D51" t="s">
        <v>33</v>
      </c>
      <c r="E51" t="s">
        <v>53</v>
      </c>
      <c r="F51" t="s">
        <v>24</v>
      </c>
      <c r="G51" t="s">
        <v>53</v>
      </c>
      <c r="H51" t="s">
        <v>25</v>
      </c>
      <c r="I51">
        <v>207</v>
      </c>
      <c r="J51">
        <v>3</v>
      </c>
      <c r="K51">
        <v>186</v>
      </c>
      <c r="L51">
        <v>8</v>
      </c>
      <c r="M51" t="s">
        <v>33</v>
      </c>
      <c r="N51" t="s">
        <v>55</v>
      </c>
      <c r="O51">
        <v>21</v>
      </c>
      <c r="P51" t="s">
        <v>106</v>
      </c>
      <c r="Q51" t="s">
        <v>106</v>
      </c>
      <c r="R51">
        <v>92</v>
      </c>
      <c r="S51" t="s">
        <v>192</v>
      </c>
      <c r="T51" t="s">
        <v>130</v>
      </c>
    </row>
    <row r="52" spans="1:20" x14ac:dyDescent="0.3">
      <c r="A52">
        <v>51</v>
      </c>
      <c r="B52" t="s">
        <v>193</v>
      </c>
      <c r="C52" t="s">
        <v>32</v>
      </c>
      <c r="D52" t="s">
        <v>46</v>
      </c>
      <c r="E52" t="s">
        <v>34</v>
      </c>
      <c r="F52" t="s">
        <v>24</v>
      </c>
      <c r="G52" t="s">
        <v>46</v>
      </c>
      <c r="H52" t="s">
        <v>25</v>
      </c>
      <c r="I52">
        <v>177</v>
      </c>
      <c r="J52">
        <v>6</v>
      </c>
      <c r="K52">
        <v>172</v>
      </c>
      <c r="L52">
        <v>5</v>
      </c>
      <c r="M52" t="s">
        <v>34</v>
      </c>
      <c r="N52" t="s">
        <v>55</v>
      </c>
      <c r="O52">
        <v>5</v>
      </c>
      <c r="P52" t="s">
        <v>194</v>
      </c>
      <c r="Q52" t="s">
        <v>163</v>
      </c>
      <c r="R52">
        <v>55</v>
      </c>
      <c r="S52" t="s">
        <v>96</v>
      </c>
      <c r="T52" t="s">
        <v>68</v>
      </c>
    </row>
    <row r="53" spans="1:20" x14ac:dyDescent="0.3">
      <c r="A53">
        <v>52</v>
      </c>
      <c r="B53" t="s">
        <v>195</v>
      </c>
      <c r="C53" t="s">
        <v>21</v>
      </c>
      <c r="D53" t="s">
        <v>40</v>
      </c>
      <c r="E53" t="s">
        <v>54</v>
      </c>
      <c r="F53" t="s">
        <v>24</v>
      </c>
      <c r="G53" t="s">
        <v>40</v>
      </c>
      <c r="H53" t="s">
        <v>150</v>
      </c>
      <c r="I53">
        <v>189</v>
      </c>
      <c r="J53">
        <v>5</v>
      </c>
      <c r="K53">
        <v>190</v>
      </c>
      <c r="L53">
        <v>4</v>
      </c>
      <c r="M53" t="s">
        <v>54</v>
      </c>
      <c r="N53" t="s">
        <v>26</v>
      </c>
      <c r="O53">
        <v>6</v>
      </c>
      <c r="P53" t="s">
        <v>196</v>
      </c>
      <c r="Q53" t="s">
        <v>196</v>
      </c>
      <c r="R53">
        <v>68</v>
      </c>
      <c r="S53" t="s">
        <v>58</v>
      </c>
      <c r="T53" t="s">
        <v>132</v>
      </c>
    </row>
    <row r="54" spans="1:20" x14ac:dyDescent="0.3">
      <c r="A54">
        <v>53</v>
      </c>
      <c r="B54" t="s">
        <v>195</v>
      </c>
      <c r="C54" t="s">
        <v>52</v>
      </c>
      <c r="D54" t="s">
        <v>23</v>
      </c>
      <c r="E54" t="s">
        <v>47</v>
      </c>
      <c r="F54" t="s">
        <v>24</v>
      </c>
      <c r="G54" t="s">
        <v>23</v>
      </c>
      <c r="H54" t="s">
        <v>25</v>
      </c>
      <c r="I54">
        <v>176</v>
      </c>
      <c r="J54">
        <v>7</v>
      </c>
      <c r="K54">
        <v>101</v>
      </c>
      <c r="L54">
        <v>10</v>
      </c>
      <c r="M54" t="s">
        <v>47</v>
      </c>
      <c r="N54" t="s">
        <v>55</v>
      </c>
      <c r="O54">
        <v>75</v>
      </c>
      <c r="P54" t="s">
        <v>83</v>
      </c>
      <c r="Q54" t="s">
        <v>66</v>
      </c>
      <c r="R54">
        <v>50</v>
      </c>
      <c r="S54" t="s">
        <v>83</v>
      </c>
      <c r="T54" t="s">
        <v>156</v>
      </c>
    </row>
    <row r="55" spans="1:20" x14ac:dyDescent="0.3">
      <c r="A55">
        <v>54</v>
      </c>
      <c r="B55" t="s">
        <v>197</v>
      </c>
      <c r="C55" t="s">
        <v>21</v>
      </c>
      <c r="D55" t="s">
        <v>39</v>
      </c>
      <c r="E55" t="s">
        <v>53</v>
      </c>
      <c r="F55" t="s">
        <v>24</v>
      </c>
      <c r="G55" t="s">
        <v>39</v>
      </c>
      <c r="H55" t="s">
        <v>150</v>
      </c>
      <c r="I55">
        <v>192</v>
      </c>
      <c r="J55">
        <v>3</v>
      </c>
      <c r="K55">
        <v>125</v>
      </c>
      <c r="L55">
        <v>10</v>
      </c>
      <c r="M55" t="s">
        <v>39</v>
      </c>
      <c r="N55" t="s">
        <v>55</v>
      </c>
      <c r="O55">
        <v>67</v>
      </c>
      <c r="P55" t="s">
        <v>61</v>
      </c>
      <c r="Q55" t="s">
        <v>42</v>
      </c>
      <c r="R55">
        <v>73</v>
      </c>
      <c r="S55" t="s">
        <v>61</v>
      </c>
      <c r="T55" t="s">
        <v>198</v>
      </c>
    </row>
    <row r="56" spans="1:20" x14ac:dyDescent="0.3">
      <c r="A56">
        <v>55</v>
      </c>
      <c r="B56" t="s">
        <v>197</v>
      </c>
      <c r="C56" t="s">
        <v>38</v>
      </c>
      <c r="D56" t="s">
        <v>22</v>
      </c>
      <c r="E56" t="s">
        <v>33</v>
      </c>
      <c r="F56" t="s">
        <v>24</v>
      </c>
      <c r="G56" t="s">
        <v>33</v>
      </c>
      <c r="H56" t="s">
        <v>25</v>
      </c>
      <c r="I56">
        <v>208</v>
      </c>
      <c r="J56">
        <v>6</v>
      </c>
      <c r="K56">
        <v>117</v>
      </c>
      <c r="L56">
        <v>10</v>
      </c>
      <c r="M56" t="s">
        <v>22</v>
      </c>
      <c r="N56" t="s">
        <v>55</v>
      </c>
      <c r="O56">
        <v>91</v>
      </c>
      <c r="P56" t="s">
        <v>189</v>
      </c>
      <c r="Q56" t="s">
        <v>189</v>
      </c>
      <c r="R56">
        <v>87</v>
      </c>
      <c r="S56" t="s">
        <v>199</v>
      </c>
      <c r="T56" t="s">
        <v>200</v>
      </c>
    </row>
    <row r="57" spans="1:20" x14ac:dyDescent="0.3">
      <c r="A57">
        <v>56</v>
      </c>
      <c r="B57" t="s">
        <v>201</v>
      </c>
      <c r="C57" t="s">
        <v>38</v>
      </c>
      <c r="D57" t="s">
        <v>23</v>
      </c>
      <c r="E57" t="s">
        <v>34</v>
      </c>
      <c r="F57" t="s">
        <v>24</v>
      </c>
      <c r="G57" t="s">
        <v>34</v>
      </c>
      <c r="H57" t="s">
        <v>25</v>
      </c>
      <c r="I57">
        <v>165</v>
      </c>
      <c r="J57">
        <v>9</v>
      </c>
      <c r="K57">
        <v>113</v>
      </c>
      <c r="L57">
        <v>10</v>
      </c>
      <c r="M57" t="s">
        <v>23</v>
      </c>
      <c r="N57" t="s">
        <v>55</v>
      </c>
      <c r="O57">
        <v>52</v>
      </c>
      <c r="P57" t="s">
        <v>74</v>
      </c>
      <c r="Q57" t="s">
        <v>36</v>
      </c>
      <c r="R57">
        <v>51</v>
      </c>
      <c r="S57" t="s">
        <v>74</v>
      </c>
      <c r="T57" t="s">
        <v>202</v>
      </c>
    </row>
    <row r="58" spans="1:20" x14ac:dyDescent="0.3">
      <c r="A58">
        <v>57</v>
      </c>
      <c r="B58" t="s">
        <v>203</v>
      </c>
      <c r="C58" t="s">
        <v>52</v>
      </c>
      <c r="D58" t="s">
        <v>47</v>
      </c>
      <c r="E58" t="s">
        <v>46</v>
      </c>
      <c r="F58" t="s">
        <v>24</v>
      </c>
      <c r="G58" t="s">
        <v>46</v>
      </c>
      <c r="H58" t="s">
        <v>150</v>
      </c>
      <c r="I58">
        <v>144</v>
      </c>
      <c r="J58">
        <v>4</v>
      </c>
      <c r="K58">
        <v>82</v>
      </c>
      <c r="L58">
        <v>10</v>
      </c>
      <c r="M58" t="s">
        <v>46</v>
      </c>
      <c r="N58" t="s">
        <v>55</v>
      </c>
      <c r="O58">
        <v>62</v>
      </c>
      <c r="P58" t="s">
        <v>77</v>
      </c>
      <c r="Q58" t="s">
        <v>77</v>
      </c>
      <c r="R58">
        <v>63</v>
      </c>
      <c r="S58" t="s">
        <v>96</v>
      </c>
      <c r="T58" t="s">
        <v>85</v>
      </c>
    </row>
    <row r="59" spans="1:20" x14ac:dyDescent="0.3">
      <c r="A59">
        <v>58</v>
      </c>
      <c r="B59" t="s">
        <v>204</v>
      </c>
      <c r="C59" t="s">
        <v>38</v>
      </c>
      <c r="D59" t="s">
        <v>33</v>
      </c>
      <c r="E59" t="s">
        <v>54</v>
      </c>
      <c r="F59" t="s">
        <v>24</v>
      </c>
      <c r="G59" t="s">
        <v>33</v>
      </c>
      <c r="H59" t="s">
        <v>25</v>
      </c>
      <c r="I59">
        <v>160</v>
      </c>
      <c r="J59">
        <v>6</v>
      </c>
      <c r="K59">
        <v>161</v>
      </c>
      <c r="L59">
        <v>2</v>
      </c>
      <c r="M59" t="s">
        <v>33</v>
      </c>
      <c r="N59" t="s">
        <v>26</v>
      </c>
      <c r="O59">
        <v>8</v>
      </c>
      <c r="P59" t="s">
        <v>205</v>
      </c>
      <c r="Q59" t="s">
        <v>205</v>
      </c>
      <c r="R59">
        <v>89</v>
      </c>
      <c r="S59" t="s">
        <v>206</v>
      </c>
      <c r="T59" t="s">
        <v>104</v>
      </c>
    </row>
    <row r="60" spans="1:20" x14ac:dyDescent="0.3">
      <c r="A60">
        <v>59</v>
      </c>
      <c r="B60" t="s">
        <v>207</v>
      </c>
      <c r="C60" t="s">
        <v>21</v>
      </c>
      <c r="D60" t="s">
        <v>22</v>
      </c>
      <c r="E60" t="s">
        <v>34</v>
      </c>
      <c r="F60" t="s">
        <v>24</v>
      </c>
      <c r="G60" t="s">
        <v>34</v>
      </c>
      <c r="H60" t="s">
        <v>25</v>
      </c>
      <c r="I60">
        <v>97</v>
      </c>
      <c r="J60">
        <v>10</v>
      </c>
      <c r="K60">
        <v>103</v>
      </c>
      <c r="L60">
        <v>5</v>
      </c>
      <c r="M60" t="s">
        <v>34</v>
      </c>
      <c r="N60" t="s">
        <v>26</v>
      </c>
      <c r="O60">
        <v>5</v>
      </c>
      <c r="P60" t="s">
        <v>146</v>
      </c>
      <c r="Q60" t="s">
        <v>28</v>
      </c>
      <c r="R60">
        <v>36</v>
      </c>
      <c r="S60" t="s">
        <v>146</v>
      </c>
      <c r="T60" t="s">
        <v>208</v>
      </c>
    </row>
    <row r="61" spans="1:20" x14ac:dyDescent="0.3">
      <c r="A61">
        <v>60</v>
      </c>
      <c r="B61" t="s">
        <v>209</v>
      </c>
      <c r="C61" t="s">
        <v>32</v>
      </c>
      <c r="D61" t="s">
        <v>39</v>
      </c>
      <c r="E61" t="s">
        <v>40</v>
      </c>
      <c r="F61" t="s">
        <v>24</v>
      </c>
      <c r="G61" t="s">
        <v>39</v>
      </c>
      <c r="H61" t="s">
        <v>25</v>
      </c>
      <c r="I61">
        <v>209</v>
      </c>
      <c r="J61">
        <v>9</v>
      </c>
      <c r="K61">
        <v>155</v>
      </c>
      <c r="L61">
        <v>9</v>
      </c>
      <c r="M61" t="s">
        <v>40</v>
      </c>
      <c r="N61" t="s">
        <v>55</v>
      </c>
      <c r="O61">
        <v>54</v>
      </c>
      <c r="P61" t="s">
        <v>210</v>
      </c>
      <c r="Q61" t="s">
        <v>80</v>
      </c>
      <c r="R61">
        <v>70</v>
      </c>
      <c r="S61" t="s">
        <v>103</v>
      </c>
      <c r="T61" t="s">
        <v>211</v>
      </c>
    </row>
    <row r="62" spans="1:20" x14ac:dyDescent="0.3">
      <c r="A62">
        <v>61</v>
      </c>
      <c r="B62" t="s">
        <v>212</v>
      </c>
      <c r="C62" t="s">
        <v>52</v>
      </c>
      <c r="D62" t="s">
        <v>53</v>
      </c>
      <c r="E62" t="s">
        <v>23</v>
      </c>
      <c r="F62" t="s">
        <v>24</v>
      </c>
      <c r="G62" t="s">
        <v>23</v>
      </c>
      <c r="H62" t="s">
        <v>150</v>
      </c>
      <c r="I62">
        <v>177</v>
      </c>
      <c r="J62">
        <v>6</v>
      </c>
      <c r="K62">
        <v>123</v>
      </c>
      <c r="L62">
        <v>8</v>
      </c>
      <c r="M62" t="s">
        <v>23</v>
      </c>
      <c r="N62" t="s">
        <v>55</v>
      </c>
      <c r="O62">
        <v>54</v>
      </c>
      <c r="P62" t="s">
        <v>70</v>
      </c>
      <c r="Q62" t="s">
        <v>70</v>
      </c>
      <c r="R62">
        <v>49</v>
      </c>
      <c r="S62" t="s">
        <v>70</v>
      </c>
      <c r="T62" t="s">
        <v>59</v>
      </c>
    </row>
    <row r="63" spans="1:20" x14ac:dyDescent="0.3">
      <c r="A63">
        <v>62</v>
      </c>
      <c r="B63" t="s">
        <v>213</v>
      </c>
      <c r="C63" t="s">
        <v>21</v>
      </c>
      <c r="D63" t="s">
        <v>22</v>
      </c>
      <c r="E63" t="s">
        <v>46</v>
      </c>
      <c r="F63" t="s">
        <v>24</v>
      </c>
      <c r="G63" t="s">
        <v>22</v>
      </c>
      <c r="H63" t="s">
        <v>150</v>
      </c>
      <c r="I63">
        <v>133</v>
      </c>
      <c r="J63">
        <v>5</v>
      </c>
      <c r="K63">
        <v>137</v>
      </c>
      <c r="L63">
        <v>3</v>
      </c>
      <c r="M63" t="s">
        <v>46</v>
      </c>
      <c r="N63" t="s">
        <v>26</v>
      </c>
      <c r="O63">
        <v>7</v>
      </c>
      <c r="P63" t="s">
        <v>163</v>
      </c>
      <c r="Q63" t="s">
        <v>163</v>
      </c>
      <c r="R63">
        <v>67</v>
      </c>
      <c r="S63" t="s">
        <v>48</v>
      </c>
      <c r="T63" t="s">
        <v>174</v>
      </c>
    </row>
    <row r="64" spans="1:20" x14ac:dyDescent="0.3">
      <c r="A64">
        <v>63</v>
      </c>
      <c r="B64" t="s">
        <v>213</v>
      </c>
      <c r="C64" t="s">
        <v>32</v>
      </c>
      <c r="D64" t="s">
        <v>47</v>
      </c>
      <c r="E64" t="s">
        <v>54</v>
      </c>
      <c r="F64" t="s">
        <v>24</v>
      </c>
      <c r="G64" t="s">
        <v>54</v>
      </c>
      <c r="H64" t="s">
        <v>150</v>
      </c>
      <c r="I64">
        <v>178</v>
      </c>
      <c r="J64">
        <v>6</v>
      </c>
      <c r="K64">
        <v>154</v>
      </c>
      <c r="L64">
        <v>8</v>
      </c>
      <c r="M64" t="s">
        <v>54</v>
      </c>
      <c r="N64" t="s">
        <v>55</v>
      </c>
      <c r="O64">
        <v>24</v>
      </c>
      <c r="P64" t="s">
        <v>214</v>
      </c>
      <c r="Q64" t="s">
        <v>49</v>
      </c>
      <c r="R64">
        <v>59</v>
      </c>
      <c r="S64" t="s">
        <v>214</v>
      </c>
      <c r="T64" t="s">
        <v>215</v>
      </c>
    </row>
    <row r="65" spans="1:20" x14ac:dyDescent="0.3">
      <c r="A65">
        <v>64</v>
      </c>
      <c r="B65" t="s">
        <v>216</v>
      </c>
      <c r="C65" t="s">
        <v>38</v>
      </c>
      <c r="D65" t="s">
        <v>33</v>
      </c>
      <c r="E65" t="s">
        <v>40</v>
      </c>
      <c r="F65" t="s">
        <v>24</v>
      </c>
      <c r="G65" t="s">
        <v>40</v>
      </c>
      <c r="H65" t="s">
        <v>25</v>
      </c>
      <c r="I65">
        <v>159</v>
      </c>
      <c r="J65">
        <v>7</v>
      </c>
      <c r="K65">
        <v>142</v>
      </c>
      <c r="L65">
        <v>9</v>
      </c>
      <c r="M65" t="s">
        <v>33</v>
      </c>
      <c r="N65" t="s">
        <v>55</v>
      </c>
      <c r="O65">
        <v>17</v>
      </c>
      <c r="P65" t="s">
        <v>217</v>
      </c>
      <c r="Q65" t="s">
        <v>205</v>
      </c>
      <c r="R65">
        <v>63</v>
      </c>
      <c r="S65" t="s">
        <v>218</v>
      </c>
      <c r="T65" t="s">
        <v>219</v>
      </c>
    </row>
    <row r="66" spans="1:20" x14ac:dyDescent="0.3">
      <c r="A66">
        <v>65</v>
      </c>
      <c r="B66" t="s">
        <v>220</v>
      </c>
      <c r="C66" t="s">
        <v>21</v>
      </c>
      <c r="D66" t="s">
        <v>53</v>
      </c>
      <c r="E66" t="s">
        <v>34</v>
      </c>
      <c r="F66" t="s">
        <v>24</v>
      </c>
      <c r="G66" t="s">
        <v>34</v>
      </c>
      <c r="H66" t="s">
        <v>25</v>
      </c>
      <c r="I66">
        <v>193</v>
      </c>
      <c r="J66">
        <v>6</v>
      </c>
      <c r="K66">
        <v>190</v>
      </c>
      <c r="L66">
        <v>7</v>
      </c>
      <c r="M66" t="s">
        <v>53</v>
      </c>
      <c r="N66" t="s">
        <v>55</v>
      </c>
      <c r="O66">
        <v>3</v>
      </c>
      <c r="P66" t="s">
        <v>126</v>
      </c>
      <c r="Q66" t="s">
        <v>126</v>
      </c>
      <c r="R66">
        <v>76</v>
      </c>
      <c r="S66" t="s">
        <v>221</v>
      </c>
      <c r="T66" t="s">
        <v>30</v>
      </c>
    </row>
    <row r="67" spans="1:20" x14ac:dyDescent="0.3">
      <c r="A67">
        <v>66</v>
      </c>
      <c r="B67" t="s">
        <v>222</v>
      </c>
      <c r="C67" t="s">
        <v>38</v>
      </c>
      <c r="D67" t="s">
        <v>23</v>
      </c>
      <c r="E67" t="s">
        <v>47</v>
      </c>
      <c r="F67" t="s">
        <v>24</v>
      </c>
      <c r="G67" t="s">
        <v>47</v>
      </c>
      <c r="H67" t="s">
        <v>150</v>
      </c>
      <c r="I67">
        <v>210</v>
      </c>
      <c r="J67">
        <v>0</v>
      </c>
      <c r="K67">
        <v>208</v>
      </c>
      <c r="L67">
        <v>8</v>
      </c>
      <c r="M67" t="s">
        <v>47</v>
      </c>
      <c r="N67" t="s">
        <v>55</v>
      </c>
      <c r="O67">
        <v>2</v>
      </c>
      <c r="P67" t="s">
        <v>66</v>
      </c>
      <c r="Q67" t="s">
        <v>66</v>
      </c>
      <c r="R67">
        <v>140</v>
      </c>
      <c r="S67" t="s">
        <v>178</v>
      </c>
      <c r="T67" t="s">
        <v>30</v>
      </c>
    </row>
    <row r="68" spans="1:20" x14ac:dyDescent="0.3">
      <c r="A68">
        <v>67</v>
      </c>
      <c r="B68" t="s">
        <v>223</v>
      </c>
      <c r="C68" t="s">
        <v>21</v>
      </c>
      <c r="D68" t="s">
        <v>39</v>
      </c>
      <c r="E68" t="s">
        <v>46</v>
      </c>
      <c r="F68" t="s">
        <v>24</v>
      </c>
      <c r="G68" t="s">
        <v>46</v>
      </c>
      <c r="H68" t="s">
        <v>150</v>
      </c>
      <c r="I68">
        <v>168</v>
      </c>
      <c r="J68">
        <v>5</v>
      </c>
      <c r="K68">
        <v>170</v>
      </c>
      <c r="L68">
        <v>2</v>
      </c>
      <c r="M68" t="s">
        <v>39</v>
      </c>
      <c r="N68" t="s">
        <v>26</v>
      </c>
      <c r="O68">
        <v>8</v>
      </c>
      <c r="P68" t="s">
        <v>172</v>
      </c>
      <c r="Q68" t="s">
        <v>172</v>
      </c>
      <c r="R68">
        <v>73</v>
      </c>
      <c r="S68" t="s">
        <v>96</v>
      </c>
      <c r="T68" t="s">
        <v>224</v>
      </c>
    </row>
    <row r="69" spans="1:20" x14ac:dyDescent="0.3">
      <c r="A69">
        <v>68</v>
      </c>
      <c r="B69" t="s">
        <v>225</v>
      </c>
      <c r="C69" t="s">
        <v>32</v>
      </c>
      <c r="D69" t="s">
        <v>22</v>
      </c>
      <c r="E69" t="s">
        <v>54</v>
      </c>
      <c r="F69" t="s">
        <v>24</v>
      </c>
      <c r="G69" t="s">
        <v>22</v>
      </c>
      <c r="H69" t="s">
        <v>150</v>
      </c>
      <c r="I69">
        <v>150</v>
      </c>
      <c r="J69">
        <v>6</v>
      </c>
      <c r="K69">
        <v>151</v>
      </c>
      <c r="L69">
        <v>5</v>
      </c>
      <c r="M69" t="s">
        <v>54</v>
      </c>
      <c r="N69" t="s">
        <v>26</v>
      </c>
      <c r="O69">
        <v>5</v>
      </c>
      <c r="P69" t="s">
        <v>226</v>
      </c>
      <c r="Q69" t="s">
        <v>199</v>
      </c>
      <c r="R69">
        <v>93</v>
      </c>
      <c r="S69" t="s">
        <v>227</v>
      </c>
      <c r="T69" t="s">
        <v>228</v>
      </c>
    </row>
    <row r="70" spans="1:20" x14ac:dyDescent="0.3">
      <c r="A70">
        <v>69</v>
      </c>
      <c r="B70" t="s">
        <v>229</v>
      </c>
      <c r="C70" t="s">
        <v>21</v>
      </c>
      <c r="D70" t="s">
        <v>33</v>
      </c>
      <c r="E70" t="s">
        <v>34</v>
      </c>
      <c r="F70" t="s">
        <v>24</v>
      </c>
      <c r="G70" t="s">
        <v>34</v>
      </c>
      <c r="H70" t="s">
        <v>25</v>
      </c>
      <c r="I70">
        <v>159</v>
      </c>
      <c r="J70">
        <v>7</v>
      </c>
      <c r="K70">
        <v>160</v>
      </c>
      <c r="L70">
        <v>5</v>
      </c>
      <c r="M70" t="s">
        <v>34</v>
      </c>
      <c r="N70" t="s">
        <v>26</v>
      </c>
      <c r="O70">
        <v>5</v>
      </c>
      <c r="P70" t="s">
        <v>74</v>
      </c>
      <c r="Q70" t="s">
        <v>36</v>
      </c>
      <c r="R70">
        <v>48</v>
      </c>
      <c r="S70" t="s">
        <v>74</v>
      </c>
      <c r="T70" t="s">
        <v>50</v>
      </c>
    </row>
    <row r="71" spans="1:20" x14ac:dyDescent="0.3">
      <c r="A71">
        <v>70</v>
      </c>
      <c r="B71" t="s">
        <v>230</v>
      </c>
      <c r="C71" t="s">
        <v>21</v>
      </c>
      <c r="D71" t="s">
        <v>53</v>
      </c>
      <c r="E71" t="s">
        <v>40</v>
      </c>
      <c r="F71" t="s">
        <v>24</v>
      </c>
      <c r="G71" t="s">
        <v>53</v>
      </c>
      <c r="H71" t="s">
        <v>150</v>
      </c>
      <c r="I71">
        <v>157</v>
      </c>
      <c r="J71">
        <v>8</v>
      </c>
      <c r="K71">
        <v>160</v>
      </c>
      <c r="L71">
        <v>5</v>
      </c>
      <c r="M71" t="s">
        <v>40</v>
      </c>
      <c r="N71" t="s">
        <v>26</v>
      </c>
      <c r="O71">
        <v>5</v>
      </c>
      <c r="P71" t="s">
        <v>231</v>
      </c>
      <c r="Q71" t="s">
        <v>80</v>
      </c>
      <c r="R71">
        <v>49</v>
      </c>
      <c r="S71" t="s">
        <v>231</v>
      </c>
      <c r="T71" t="s">
        <v>232</v>
      </c>
    </row>
    <row r="72" spans="1:20" x14ac:dyDescent="0.3">
      <c r="A72">
        <v>71</v>
      </c>
      <c r="B72" t="s">
        <v>233</v>
      </c>
      <c r="C72" t="s">
        <v>234</v>
      </c>
      <c r="D72" t="s">
        <v>46</v>
      </c>
      <c r="E72" t="s">
        <v>54</v>
      </c>
      <c r="F72" t="s">
        <v>235</v>
      </c>
      <c r="G72" t="s">
        <v>46</v>
      </c>
      <c r="H72" t="s">
        <v>25</v>
      </c>
      <c r="I72">
        <v>188</v>
      </c>
      <c r="J72">
        <v>6</v>
      </c>
      <c r="K72">
        <v>191</v>
      </c>
      <c r="L72">
        <v>3</v>
      </c>
      <c r="M72" t="s">
        <v>46</v>
      </c>
      <c r="N72" t="s">
        <v>26</v>
      </c>
      <c r="O72">
        <v>7</v>
      </c>
      <c r="P72" t="s">
        <v>135</v>
      </c>
      <c r="Q72" t="s">
        <v>73</v>
      </c>
      <c r="R72">
        <v>89</v>
      </c>
      <c r="S72" t="s">
        <v>123</v>
      </c>
      <c r="T72" t="s">
        <v>236</v>
      </c>
    </row>
    <row r="73" spans="1:20" x14ac:dyDescent="0.3">
      <c r="A73">
        <v>72</v>
      </c>
      <c r="B73" t="s">
        <v>237</v>
      </c>
      <c r="C73" t="s">
        <v>234</v>
      </c>
      <c r="D73" t="s">
        <v>39</v>
      </c>
      <c r="E73" t="s">
        <v>47</v>
      </c>
      <c r="F73" t="s">
        <v>235</v>
      </c>
      <c r="G73" t="s">
        <v>47</v>
      </c>
      <c r="H73" t="s">
        <v>25</v>
      </c>
      <c r="I73">
        <v>207</v>
      </c>
      <c r="J73">
        <v>4</v>
      </c>
      <c r="K73">
        <v>193</v>
      </c>
      <c r="L73">
        <v>6</v>
      </c>
      <c r="M73" t="s">
        <v>39</v>
      </c>
      <c r="N73" t="s">
        <v>55</v>
      </c>
      <c r="O73">
        <v>14</v>
      </c>
      <c r="P73" t="s">
        <v>238</v>
      </c>
      <c r="Q73" t="s">
        <v>238</v>
      </c>
      <c r="R73">
        <v>112</v>
      </c>
      <c r="S73" t="s">
        <v>131</v>
      </c>
      <c r="T73" t="s">
        <v>239</v>
      </c>
    </row>
    <row r="74" spans="1:20" x14ac:dyDescent="0.3">
      <c r="A74">
        <v>73</v>
      </c>
      <c r="B74" t="s">
        <v>240</v>
      </c>
      <c r="C74" t="s">
        <v>241</v>
      </c>
      <c r="D74" t="s">
        <v>39</v>
      </c>
      <c r="E74" t="s">
        <v>54</v>
      </c>
      <c r="F74" t="s">
        <v>235</v>
      </c>
      <c r="G74" t="s">
        <v>54</v>
      </c>
      <c r="H74" t="s">
        <v>25</v>
      </c>
      <c r="I74">
        <v>157</v>
      </c>
      <c r="J74">
        <v>8</v>
      </c>
      <c r="K74">
        <v>161</v>
      </c>
      <c r="L74">
        <v>3</v>
      </c>
      <c r="M74" t="s">
        <v>54</v>
      </c>
      <c r="N74" t="s">
        <v>26</v>
      </c>
      <c r="O74">
        <v>7</v>
      </c>
      <c r="P74" t="s">
        <v>73</v>
      </c>
      <c r="Q74" t="s">
        <v>73</v>
      </c>
      <c r="R74">
        <v>106</v>
      </c>
      <c r="S74" t="s">
        <v>148</v>
      </c>
      <c r="T74" t="s">
        <v>59</v>
      </c>
    </row>
    <row r="75" spans="1:20" x14ac:dyDescent="0.3">
      <c r="A75">
        <v>74</v>
      </c>
      <c r="B75" t="s">
        <v>242</v>
      </c>
      <c r="C75" t="s">
        <v>241</v>
      </c>
      <c r="D75" t="s">
        <v>46</v>
      </c>
      <c r="E75" t="s">
        <v>54</v>
      </c>
      <c r="F75" t="s">
        <v>243</v>
      </c>
      <c r="G75" t="s">
        <v>54</v>
      </c>
      <c r="H75" t="s">
        <v>150</v>
      </c>
      <c r="I75">
        <v>130</v>
      </c>
      <c r="J75">
        <v>9</v>
      </c>
      <c r="K75">
        <v>133</v>
      </c>
      <c r="L75">
        <v>3</v>
      </c>
      <c r="M75" t="s">
        <v>46</v>
      </c>
      <c r="N75" t="s">
        <v>26</v>
      </c>
      <c r="O75">
        <v>7</v>
      </c>
      <c r="P75" t="s">
        <v>123</v>
      </c>
      <c r="Q75" t="s">
        <v>77</v>
      </c>
      <c r="R75">
        <v>45</v>
      </c>
      <c r="S75" t="s">
        <v>123</v>
      </c>
      <c r="T75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67C3C-327A-44F0-A4C2-ECFC79A6D223}">
  <dimension ref="A1:B11"/>
  <sheetViews>
    <sheetView workbookViewId="0">
      <selection activeCell="B17" sqref="B17"/>
    </sheetView>
  </sheetViews>
  <sheetFormatPr defaultRowHeight="14.4" x14ac:dyDescent="0.3"/>
  <sheetData>
    <row r="1" spans="1:2" x14ac:dyDescent="0.3">
      <c r="A1" t="s">
        <v>244</v>
      </c>
      <c r="B1" t="s">
        <v>245</v>
      </c>
    </row>
    <row r="2" spans="1:2" x14ac:dyDescent="0.3">
      <c r="A2" t="str" cm="1">
        <f t="array" ref="A2:A11">_xlfn.UNIQUE(IPL!$M$2:$M$75)</f>
        <v>Kolkata</v>
      </c>
      <c r="B2" cm="1">
        <f t="array" ref="B2">SUMPRODUCT(--(IPL!$M$2:$M$75=A2))</f>
        <v>6</v>
      </c>
    </row>
    <row r="3" spans="1:2" x14ac:dyDescent="0.3">
      <c r="A3" t="str">
        <v>Delhi</v>
      </c>
      <c r="B3" cm="1">
        <f t="array" ref="B3">SUMPRODUCT(--(IPL!$M$2:$M$75=A3))</f>
        <v>7</v>
      </c>
    </row>
    <row r="4" spans="1:2" x14ac:dyDescent="0.3">
      <c r="A4" t="str">
        <v>Punjab</v>
      </c>
      <c r="B4" cm="1">
        <f t="array" ref="B4">SUMPRODUCT(--(IPL!$M$2:$M$75=A4))</f>
        <v>7</v>
      </c>
    </row>
    <row r="5" spans="1:2" x14ac:dyDescent="0.3">
      <c r="A5" t="str">
        <v>Gujarat</v>
      </c>
      <c r="B5" cm="1">
        <f t="array" ref="B5">SUMPRODUCT(--(IPL!$M$2:$M$75=A5))</f>
        <v>12</v>
      </c>
    </row>
    <row r="6" spans="1:2" x14ac:dyDescent="0.3">
      <c r="A6" t="str">
        <v>Rajasthan</v>
      </c>
      <c r="B6" cm="1">
        <f t="array" ref="B6">SUMPRODUCT(--(IPL!$M$2:$M$75=A6))</f>
        <v>10</v>
      </c>
    </row>
    <row r="7" spans="1:2" x14ac:dyDescent="0.3">
      <c r="A7" t="str">
        <v>Banglore</v>
      </c>
      <c r="B7" cm="1">
        <f t="array" ref="B7">SUMPRODUCT(--(IPL!$M$2:$M$75=A7))</f>
        <v>9</v>
      </c>
    </row>
    <row r="8" spans="1:2" x14ac:dyDescent="0.3">
      <c r="A8" t="str">
        <v>Lucknow</v>
      </c>
      <c r="B8" cm="1">
        <f t="array" ref="B8">SUMPRODUCT(--(IPL!$M$2:$M$75=A8))</f>
        <v>9</v>
      </c>
    </row>
    <row r="9" spans="1:2" x14ac:dyDescent="0.3">
      <c r="A9" t="str">
        <v>Hyderabad</v>
      </c>
      <c r="B9" cm="1">
        <f t="array" ref="B9">SUMPRODUCT(--(IPL!$M$2:$M$75=A9))</f>
        <v>6</v>
      </c>
    </row>
    <row r="10" spans="1:2" x14ac:dyDescent="0.3">
      <c r="A10" t="str">
        <v>Chennai</v>
      </c>
      <c r="B10" cm="1">
        <f t="array" ref="B10">SUMPRODUCT(--(IPL!$M$2:$M$75=A10))</f>
        <v>4</v>
      </c>
    </row>
    <row r="11" spans="1:2" x14ac:dyDescent="0.3">
      <c r="A11" t="str">
        <v>Mumbai</v>
      </c>
      <c r="B11" cm="1">
        <f t="array" ref="B11">SUMPRODUCT(--(IPL!$M$2:$M$75=A11))</f>
        <v>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E008A-6FD1-4EB1-8F1C-2246E385AA86}">
  <dimension ref="A1:B3"/>
  <sheetViews>
    <sheetView workbookViewId="0">
      <selection activeCell="D15" sqref="D15"/>
    </sheetView>
  </sheetViews>
  <sheetFormatPr defaultRowHeight="14.4" x14ac:dyDescent="0.3"/>
  <sheetData>
    <row r="1" spans="1:2" x14ac:dyDescent="0.3">
      <c r="A1" t="s">
        <v>246</v>
      </c>
      <c r="B1" t="s">
        <v>247</v>
      </c>
    </row>
    <row r="2" spans="1:2" x14ac:dyDescent="0.3">
      <c r="A2" t="str" cm="1">
        <f t="array" ref="A2:A3">_xlfn.UNIQUE(IPL!H2:$H$75)</f>
        <v>Field</v>
      </c>
      <c r="B2" cm="1">
        <f t="array" ref="B2">SUMPRODUCT(--(IPL!$H$2:$H$75=A2))</f>
        <v>59</v>
      </c>
    </row>
    <row r="3" spans="1:2" x14ac:dyDescent="0.3">
      <c r="A3" t="str">
        <v>Bat</v>
      </c>
      <c r="B3" cm="1">
        <f t="array" ref="B3">SUMPRODUCT(--(IPL!$H$2:$H$75=A3))</f>
        <v>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4C645-CA18-4F75-A29E-3F9E24252163}">
  <dimension ref="A1:B3"/>
  <sheetViews>
    <sheetView workbookViewId="0">
      <selection activeCell="C7" sqref="C7"/>
    </sheetView>
  </sheetViews>
  <sheetFormatPr defaultRowHeight="14.4" x14ac:dyDescent="0.3"/>
  <sheetData>
    <row r="1" spans="1:2" x14ac:dyDescent="0.3">
      <c r="A1" t="s">
        <v>248</v>
      </c>
      <c r="B1" t="s">
        <v>247</v>
      </c>
    </row>
    <row r="2" spans="1:2" x14ac:dyDescent="0.3">
      <c r="A2" t="str" cm="1">
        <f t="array" ref="A2:A3">_xlfn.UNIQUE(IPL!$N$2:$N$75)</f>
        <v>Wickets</v>
      </c>
      <c r="B2" cm="1">
        <f t="array" ref="B2">SUMPRODUCT(--(IPL!$N$2:$N$75=A2))</f>
        <v>37</v>
      </c>
    </row>
    <row r="3" spans="1:2" x14ac:dyDescent="0.3">
      <c r="A3" t="str">
        <v>Runs</v>
      </c>
      <c r="B3" cm="1">
        <f t="array" ref="B3">SUMPRODUCT(--(IPL!$N$2:$N$75=A3))</f>
        <v>37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E2DB2-D307-43B7-9702-88A0273F9CE7}">
  <dimension ref="A3:B19"/>
  <sheetViews>
    <sheetView workbookViewId="0">
      <selection activeCell="M13" sqref="M13"/>
    </sheetView>
  </sheetViews>
  <sheetFormatPr defaultRowHeight="14.4" x14ac:dyDescent="0.3"/>
  <cols>
    <col min="1" max="1" width="17.44140625" bestFit="1" customWidth="1"/>
    <col min="2" max="2" width="17.33203125" bestFit="1" customWidth="1"/>
  </cols>
  <sheetData>
    <row r="3" spans="1:2" x14ac:dyDescent="0.3">
      <c r="A3" s="1" t="s">
        <v>249</v>
      </c>
      <c r="B3" t="s">
        <v>251</v>
      </c>
    </row>
    <row r="4" spans="1:2" x14ac:dyDescent="0.3">
      <c r="A4" s="2" t="s">
        <v>35</v>
      </c>
      <c r="B4" s="3">
        <v>4</v>
      </c>
    </row>
    <row r="5" spans="1:2" x14ac:dyDescent="0.3">
      <c r="A5" s="2" t="s">
        <v>73</v>
      </c>
      <c r="B5" s="3">
        <v>3</v>
      </c>
    </row>
    <row r="6" spans="1:2" x14ac:dyDescent="0.3">
      <c r="A6" s="2" t="s">
        <v>126</v>
      </c>
      <c r="B6" s="3">
        <v>2</v>
      </c>
    </row>
    <row r="7" spans="1:2" x14ac:dyDescent="0.3">
      <c r="A7" s="2" t="s">
        <v>58</v>
      </c>
      <c r="B7" s="3">
        <v>2</v>
      </c>
    </row>
    <row r="8" spans="1:2" x14ac:dyDescent="0.3">
      <c r="A8" s="2" t="s">
        <v>87</v>
      </c>
      <c r="B8" s="3">
        <v>2</v>
      </c>
    </row>
    <row r="9" spans="1:2" x14ac:dyDescent="0.3">
      <c r="A9" s="2" t="s">
        <v>123</v>
      </c>
      <c r="B9" s="3">
        <v>2</v>
      </c>
    </row>
    <row r="10" spans="1:2" x14ac:dyDescent="0.3">
      <c r="A10" s="2" t="s">
        <v>66</v>
      </c>
      <c r="B10" s="3">
        <v>2</v>
      </c>
    </row>
    <row r="11" spans="1:2" x14ac:dyDescent="0.3">
      <c r="A11" s="2" t="s">
        <v>74</v>
      </c>
      <c r="B11" s="3">
        <v>2</v>
      </c>
    </row>
    <row r="12" spans="1:2" x14ac:dyDescent="0.3">
      <c r="A12" s="2" t="s">
        <v>77</v>
      </c>
      <c r="B12" s="3">
        <v>2</v>
      </c>
    </row>
    <row r="13" spans="1:2" x14ac:dyDescent="0.3">
      <c r="A13" s="2" t="s">
        <v>27</v>
      </c>
      <c r="B13" s="3">
        <v>2</v>
      </c>
    </row>
    <row r="14" spans="1:2" x14ac:dyDescent="0.3">
      <c r="A14" s="2" t="s">
        <v>134</v>
      </c>
      <c r="B14" s="3">
        <v>2</v>
      </c>
    </row>
    <row r="15" spans="1:2" x14ac:dyDescent="0.3">
      <c r="A15" s="2" t="s">
        <v>61</v>
      </c>
      <c r="B15" s="3">
        <v>2</v>
      </c>
    </row>
    <row r="16" spans="1:2" x14ac:dyDescent="0.3">
      <c r="A16" s="2" t="s">
        <v>129</v>
      </c>
      <c r="B16" s="3">
        <v>2</v>
      </c>
    </row>
    <row r="17" spans="1:2" x14ac:dyDescent="0.3">
      <c r="A17" s="2" t="s">
        <v>135</v>
      </c>
      <c r="B17" s="3">
        <v>2</v>
      </c>
    </row>
    <row r="18" spans="1:2" x14ac:dyDescent="0.3">
      <c r="A18" s="2" t="s">
        <v>83</v>
      </c>
      <c r="B18" s="3">
        <v>2</v>
      </c>
    </row>
    <row r="19" spans="1:2" x14ac:dyDescent="0.3">
      <c r="A19" s="2" t="s">
        <v>250</v>
      </c>
      <c r="B19" s="3">
        <v>33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B5496-93AF-4EBF-9624-4E692F189604}">
  <dimension ref="A3:B14"/>
  <sheetViews>
    <sheetView workbookViewId="0">
      <selection activeCell="G27" sqref="G27"/>
    </sheetView>
  </sheetViews>
  <sheetFormatPr defaultRowHeight="14.4" x14ac:dyDescent="0.3"/>
  <cols>
    <col min="1" max="1" width="14.5546875" bestFit="1" customWidth="1"/>
    <col min="2" max="2" width="11.5546875" bestFit="1" customWidth="1"/>
  </cols>
  <sheetData>
    <row r="3" spans="1:2" x14ac:dyDescent="0.3">
      <c r="A3" s="1" t="s">
        <v>249</v>
      </c>
      <c r="B3" t="s">
        <v>252</v>
      </c>
    </row>
    <row r="4" spans="1:2" x14ac:dyDescent="0.3">
      <c r="A4" s="2" t="s">
        <v>73</v>
      </c>
      <c r="B4" s="3">
        <v>651</v>
      </c>
    </row>
    <row r="5" spans="1:2" x14ac:dyDescent="0.3">
      <c r="A5" s="2" t="s">
        <v>66</v>
      </c>
      <c r="B5" s="3">
        <v>377</v>
      </c>
    </row>
    <row r="6" spans="1:2" x14ac:dyDescent="0.3">
      <c r="A6" s="2" t="s">
        <v>84</v>
      </c>
      <c r="B6" s="3">
        <v>351</v>
      </c>
    </row>
    <row r="7" spans="1:2" x14ac:dyDescent="0.3">
      <c r="A7" s="2" t="s">
        <v>77</v>
      </c>
      <c r="B7" s="3">
        <v>288</v>
      </c>
    </row>
    <row r="8" spans="1:2" x14ac:dyDescent="0.3">
      <c r="A8" s="2" t="s">
        <v>42</v>
      </c>
      <c r="B8" s="3">
        <v>257</v>
      </c>
    </row>
    <row r="9" spans="1:2" x14ac:dyDescent="0.3">
      <c r="A9" s="2" t="s">
        <v>80</v>
      </c>
      <c r="B9" s="3">
        <v>239</v>
      </c>
    </row>
    <row r="10" spans="1:2" x14ac:dyDescent="0.3">
      <c r="A10" s="2" t="s">
        <v>106</v>
      </c>
      <c r="B10" s="3">
        <v>213</v>
      </c>
    </row>
    <row r="11" spans="1:2" x14ac:dyDescent="0.3">
      <c r="A11" s="2" t="s">
        <v>163</v>
      </c>
      <c r="B11" s="3">
        <v>190</v>
      </c>
    </row>
    <row r="12" spans="1:2" x14ac:dyDescent="0.3">
      <c r="A12" s="2" t="s">
        <v>36</v>
      </c>
      <c r="B12" s="3">
        <v>180</v>
      </c>
    </row>
    <row r="13" spans="1:2" x14ac:dyDescent="0.3">
      <c r="A13" s="2" t="s">
        <v>120</v>
      </c>
      <c r="B13" s="3">
        <v>158</v>
      </c>
    </row>
    <row r="14" spans="1:2" x14ac:dyDescent="0.3">
      <c r="A14" s="2" t="s">
        <v>250</v>
      </c>
      <c r="B14" s="3">
        <v>2904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4C961-8C46-4294-8111-6FA34F563C85}">
  <dimension ref="A3:B14"/>
  <sheetViews>
    <sheetView workbookViewId="0">
      <selection activeCell="K8" sqref="K8"/>
    </sheetView>
  </sheetViews>
  <sheetFormatPr defaultRowHeight="14.4" x14ac:dyDescent="0.3"/>
  <cols>
    <col min="1" max="1" width="17.44140625" bestFit="1" customWidth="1"/>
    <col min="2" max="2" width="19" bestFit="1" customWidth="1"/>
  </cols>
  <sheetData>
    <row r="3" spans="1:2" x14ac:dyDescent="0.3">
      <c r="A3" s="1" t="s">
        <v>249</v>
      </c>
      <c r="B3" t="s">
        <v>253</v>
      </c>
    </row>
    <row r="4" spans="1:2" x14ac:dyDescent="0.3">
      <c r="A4" s="2" t="s">
        <v>58</v>
      </c>
      <c r="B4" s="3">
        <v>17</v>
      </c>
    </row>
    <row r="5" spans="1:2" x14ac:dyDescent="0.3">
      <c r="A5" s="2" t="s">
        <v>96</v>
      </c>
      <c r="B5" s="3">
        <v>11</v>
      </c>
    </row>
    <row r="6" spans="1:2" x14ac:dyDescent="0.3">
      <c r="A6" s="2" t="s">
        <v>74</v>
      </c>
      <c r="B6" s="3">
        <v>11</v>
      </c>
    </row>
    <row r="7" spans="1:2" x14ac:dyDescent="0.3">
      <c r="A7" s="2" t="s">
        <v>35</v>
      </c>
      <c r="B7" s="3">
        <v>11</v>
      </c>
    </row>
    <row r="8" spans="1:2" x14ac:dyDescent="0.3">
      <c r="A8" s="2" t="s">
        <v>131</v>
      </c>
      <c r="B8" s="3">
        <v>10</v>
      </c>
    </row>
    <row r="9" spans="1:2" x14ac:dyDescent="0.3">
      <c r="A9" s="2" t="s">
        <v>158</v>
      </c>
      <c r="B9" s="3">
        <v>10</v>
      </c>
    </row>
    <row r="10" spans="1:2" x14ac:dyDescent="0.3">
      <c r="A10" s="2" t="s">
        <v>83</v>
      </c>
      <c r="B10" s="3">
        <v>10</v>
      </c>
    </row>
    <row r="11" spans="1:2" x14ac:dyDescent="0.3">
      <c r="A11" s="2" t="s">
        <v>61</v>
      </c>
      <c r="B11" s="3">
        <v>9</v>
      </c>
    </row>
    <row r="12" spans="1:2" x14ac:dyDescent="0.3">
      <c r="A12" s="2" t="s">
        <v>134</v>
      </c>
      <c r="B12" s="3">
        <v>9</v>
      </c>
    </row>
    <row r="13" spans="1:2" x14ac:dyDescent="0.3">
      <c r="A13" s="2" t="s">
        <v>112</v>
      </c>
      <c r="B13" s="3">
        <v>8</v>
      </c>
    </row>
    <row r="14" spans="1:2" x14ac:dyDescent="0.3">
      <c r="A14" s="2" t="s">
        <v>250</v>
      </c>
      <c r="B14" s="3">
        <v>106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IPL</vt:lpstr>
      <vt:lpstr>Matches Won</vt:lpstr>
      <vt:lpstr>Toss Decision</vt:lpstr>
      <vt:lpstr>How Teams Won</vt:lpstr>
      <vt:lpstr>POTM Won</vt:lpstr>
      <vt:lpstr>Most Runs</vt:lpstr>
      <vt:lpstr>Most Wickets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Jani</dc:creator>
  <cp:lastModifiedBy>Raj Jani</cp:lastModifiedBy>
  <dcterms:created xsi:type="dcterms:W3CDTF">2026-04-26T09:11:30Z</dcterms:created>
  <dcterms:modified xsi:type="dcterms:W3CDTF">2026-04-26T09:11:30Z</dcterms:modified>
</cp:coreProperties>
</file>